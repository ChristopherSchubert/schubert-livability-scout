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flat plateau</t>
        </r>
      </text>
    </comment>
    <comment ref="D7" authorId="0">
      <text>
        <r>
          <rPr>
            <sz val="10"/>
            <rFont val="Arial"/>
            <family val="2"/>
          </rPr>
          <t xml:space="preserve">river valley edge</t>
        </r>
      </text>
    </comment>
    <comment ref="D8" authorId="0">
      <text>
        <r>
          <rPr>
            <sz val="10"/>
            <rFont val="Arial"/>
            <family val="2"/>
          </rPr>
          <t xml:space="preserve">flat floodplain core</t>
        </r>
      </text>
    </comment>
    <comment ref="D9" authorId="0">
      <text>
        <r>
          <rPr>
            <sz val="10"/>
            <rFont val="Arial"/>
            <family val="2"/>
          </rPr>
          <t xml:space="preserve">river valley</t>
        </r>
      </text>
    </comment>
    <comment ref="D10" authorId="0">
      <text>
        <r>
          <rPr>
            <sz val="10"/>
            <rFont val="Arial"/>
            <family val="2"/>
          </rPr>
          <t xml:space="preserve">rolling suburb</t>
        </r>
      </text>
    </comment>
    <comment ref="D11" authorId="0">
      <text>
        <r>
          <rPr>
            <sz val="10"/>
            <rFont val="Arial"/>
            <family val="2"/>
          </rPr>
          <t xml:space="preserve">basin floor, hills around</t>
        </r>
      </text>
    </comment>
    <comment ref="D12" authorId="0">
      <text>
        <r>
          <rPr>
            <sz val="10"/>
            <rFont val="Arial"/>
            <family val="2"/>
          </rPr>
          <t xml:space="preserve">bluff above river valley</t>
        </r>
      </text>
    </comment>
    <comment ref="D13" authorId="0">
      <text>
        <r>
          <rPr>
            <sz val="10"/>
            <rFont val="Arial"/>
            <family val="2"/>
          </rPr>
          <t xml:space="preserve">flat Piedmont</t>
        </r>
      </text>
    </comment>
    <comment ref="D16" authorId="0">
      <text>
        <r>
          <rPr>
            <sz val="10"/>
            <rFont val="Arial"/>
            <family val="2"/>
          </rPr>
          <t xml:space="preserve">peninsula+walls</t>
        </r>
      </text>
    </comment>
    <comment ref="D17" authorId="0">
      <text>
        <r>
          <rPr>
            <sz val="10"/>
            <rFont val="Arial"/>
            <family val="2"/>
          </rPr>
          <t xml:space="preserve">Julian Alps basin</t>
        </r>
      </text>
    </comment>
    <comment ref="D18" authorId="0">
      <text>
        <r>
          <rPr>
            <sz val="10"/>
            <rFont val="Arial"/>
            <family val="2"/>
          </rPr>
          <t xml:space="preserve">castle hill</t>
        </r>
      </text>
    </comment>
    <comment ref="F6" authorId="0">
      <text>
        <r>
          <rPr>
            <sz val="10"/>
            <rFont val="Arial"/>
            <family val="2"/>
          </rPr>
          <t xml:space="preserve">no lake/mtn at core</t>
        </r>
      </text>
    </comment>
    <comment ref="F7" authorId="0">
      <text>
        <r>
          <rPr>
            <sz val="10"/>
            <rFont val="Arial"/>
            <family val="2"/>
          </rPr>
          <t xml:space="preserve">Allegheny R. adjacent</t>
        </r>
      </text>
    </comment>
    <comment ref="F8" authorId="0">
      <text>
        <r>
          <rPr>
            <sz val="10"/>
            <rFont val="Arial"/>
            <family val="2"/>
          </rPr>
          <t xml:space="preserve">Ohio R adjacent, not visible from core</t>
        </r>
      </text>
    </comment>
    <comment ref="F9" authorId="0">
      <text>
        <r>
          <rPr>
            <sz val="10"/>
            <rFont val="Arial"/>
            <family val="2"/>
          </rPr>
          <t xml:space="preserve">Allegheny R adjacent</t>
        </r>
      </text>
    </comment>
    <comment ref="F10" authorId="0">
      <text>
        <r>
          <rPr>
            <sz val="10"/>
            <rFont val="Arial"/>
            <family val="2"/>
          </rPr>
          <t xml:space="preserve">creeks/parks only</t>
        </r>
      </text>
    </comment>
    <comment ref="F11" authorId="0">
      <text>
        <r>
          <rPr>
            <sz val="10"/>
            <rFont val="Arial"/>
            <family val="2"/>
          </rPr>
          <t xml:space="preserve">Ohio R ~15min</t>
        </r>
      </text>
    </comment>
    <comment ref="F12" authorId="0">
      <text>
        <r>
          <rPr>
            <sz val="10"/>
            <rFont val="Arial"/>
            <family val="2"/>
          </rPr>
          <t xml:space="preserve">overlooks Cuyahoga valley+skyline</t>
        </r>
      </text>
    </comment>
    <comment ref="F13" authorId="0">
      <text>
        <r>
          <rPr>
            <sz val="10"/>
            <rFont val="Arial"/>
            <family val="2"/>
          </rPr>
          <t xml:space="preserve">no major feature</t>
        </r>
      </text>
    </comment>
    <comment ref="F16" authorId="0">
      <text>
        <r>
          <rPr>
            <sz val="10"/>
            <rFont val="Arial"/>
            <family val="2"/>
          </rPr>
          <t xml:space="preserve">Adriatic 3 sides</t>
        </r>
      </text>
    </comment>
    <comment ref="F17" authorId="0">
      <text>
        <r>
          <rPr>
            <sz val="10"/>
            <rFont val="Arial"/>
            <family val="2"/>
          </rPr>
          <t xml:space="preserve">lake+island+castle crag</t>
        </r>
      </text>
    </comment>
    <comment ref="F18" authorId="0">
      <text>
        <r>
          <rPr>
            <sz val="10"/>
            <rFont val="Arial"/>
            <family val="2"/>
          </rPr>
          <t xml:space="preserve">river+castle hill</t>
        </r>
      </text>
    </comment>
    <comment ref="H6" authorId="0">
      <text>
        <r>
          <rPr>
            <sz val="10"/>
            <rFont val="Arial"/>
            <family val="2"/>
          </rPr>
          <t xml:space="preserve">no vista</t>
        </r>
      </text>
    </comment>
    <comment ref="H7" authorId="0">
      <text>
        <r>
          <rPr>
            <sz val="10"/>
            <rFont val="Arial"/>
            <family val="2"/>
          </rPr>
          <t xml:space="preserve">limited river presence</t>
        </r>
      </text>
    </comment>
    <comment ref="H8" authorId="0">
      <text>
        <r>
          <rPr>
            <sz val="10"/>
            <rFont val="Arial"/>
            <family val="2"/>
          </rPr>
          <t xml:space="preserve">no vista from flat core</t>
        </r>
      </text>
    </comment>
    <comment ref="H9" authorId="0">
      <text>
        <r>
          <rPr>
            <sz val="10"/>
            <rFont val="Arial"/>
            <family val="2"/>
          </rPr>
          <t xml:space="preserve">limited</t>
        </r>
      </text>
    </comment>
    <comment ref="H10" authorId="0">
      <text>
        <r>
          <rPr>
            <sz val="10"/>
            <rFont val="Arial"/>
            <family val="2"/>
          </rPr>
          <t xml:space="preserve">no vista</t>
        </r>
      </text>
    </comment>
    <comment ref="H11" authorId="0">
      <text>
        <r>
          <rPr>
            <sz val="10"/>
            <rFont val="Arial"/>
            <family val="2"/>
          </rPr>
          <t xml:space="preserve">limited from core</t>
        </r>
      </text>
    </comment>
    <comment ref="H12" authorId="0">
      <text>
        <r>
          <rPr>
            <sz val="10"/>
            <rFont val="Arial"/>
            <family val="2"/>
          </rPr>
          <t xml:space="preserve">real valley/skyline views</t>
        </r>
      </text>
    </comment>
    <comment ref="H13" authorId="0">
      <text>
        <r>
          <rPr>
            <sz val="10"/>
            <rFont val="Arial"/>
            <family val="2"/>
          </rPr>
          <t xml:space="preserve">no vista</t>
        </r>
      </text>
    </comment>
    <comment ref="H16" authorId="0">
      <text>
        <r>
          <rPr>
            <sz val="10"/>
            <rFont val="Arial"/>
            <family val="2"/>
          </rPr>
          <t xml:space="preserve">sea+town vista</t>
        </r>
      </text>
    </comment>
    <comment ref="H17" authorId="0">
      <text>
        <r>
          <rPr>
            <sz val="10"/>
            <rFont val="Arial"/>
            <family val="2"/>
          </rPr>
          <t xml:space="preserve">endless alpine vista</t>
        </r>
      </text>
    </comment>
    <comment ref="H18" authorId="0">
      <text>
        <r>
          <rPr>
            <sz val="10"/>
            <rFont val="Arial"/>
            <family val="2"/>
          </rPr>
          <t xml:space="preserve">castle/river vistas</t>
        </r>
      </text>
    </comment>
    <comment ref="J6" authorId="0">
      <text>
        <r>
          <rPr>
            <sz val="10"/>
            <rFont val="Arial"/>
            <family val="2"/>
          </rPr>
          <t xml:space="preserve">~6-8 blks then arterials</t>
        </r>
      </text>
    </comment>
    <comment ref="J7" authorId="0">
      <text>
        <r>
          <rPr>
            <sz val="10"/>
            <rFont val="Arial"/>
            <family val="2"/>
          </rPr>
          <t xml:space="preserve">short main st</t>
        </r>
      </text>
    </comment>
    <comment ref="J8" authorId="0">
      <text>
        <r>
          <rPr>
            <sz val="10"/>
            <rFont val="Arial"/>
            <family val="2"/>
          </rPr>
          <t xml:space="preserve">~8-blk village then breaks</t>
        </r>
      </text>
    </comment>
    <comment ref="J9" authorId="0">
      <text>
        <r>
          <rPr>
            <sz val="10"/>
            <rFont val="Arial"/>
            <family val="2"/>
          </rPr>
          <t xml:space="preserve">very short main st</t>
        </r>
      </text>
    </comment>
    <comment ref="J10" authorId="0">
      <text>
        <r>
          <rPr>
            <sz val="10"/>
            <rFont val="Arial"/>
            <family val="2"/>
          </rPr>
          <t xml:space="preserve">no walkable core</t>
        </r>
      </text>
    </comment>
    <comment ref="J11" authorId="0">
      <text>
        <r>
          <rPr>
            <sz val="10"/>
            <rFont val="Arial"/>
            <family val="2"/>
          </rPr>
          <t xml:space="preserve">1000+ bldgs, real swallow</t>
        </r>
      </text>
    </comment>
    <comment ref="J12" authorId="0">
      <text>
        <r>
          <rPr>
            <sz val="10"/>
            <rFont val="Arial"/>
            <family val="2"/>
          </rPr>
          <t xml:space="preserve">moderate, breaks to industrial</t>
        </r>
      </text>
    </comment>
    <comment ref="J13" authorId="0">
      <text>
        <r>
          <rPr>
            <sz val="10"/>
            <rFont val="Arial"/>
            <family val="2"/>
          </rPr>
          <t xml:space="preserve">good contiguous core</t>
        </r>
      </text>
    </comment>
    <comment ref="J16" authorId="0">
      <text>
        <r>
          <rPr>
            <sz val="10"/>
            <rFont val="Arial"/>
            <family val="2"/>
          </rPr>
          <t xml:space="preserve">total car-free labyrinth</t>
        </r>
      </text>
    </comment>
    <comment ref="J17" authorId="0">
      <text>
        <r>
          <rPr>
            <sz val="10"/>
            <rFont val="Arial"/>
            <family val="2"/>
          </rPr>
          <t xml:space="preserve">lakeside walkable, spreads</t>
        </r>
      </text>
    </comment>
    <comment ref="J18" authorId="0">
      <text>
        <r>
          <rPr>
            <sz val="10"/>
            <rFont val="Arial"/>
            <family val="2"/>
          </rPr>
          <t xml:space="preserve">large car-free oldtown</t>
        </r>
      </text>
    </comment>
    <comment ref="L6" authorId="0">
      <text>
        <r>
          <rPr>
            <sz val="10"/>
            <rFont val="Arial"/>
            <family val="2"/>
          </rPr>
          <t xml:space="preserve">continuous Walnut wall, parking behind</t>
        </r>
      </text>
    </comment>
    <comment ref="L7" authorId="0">
      <text>
        <r>
          <rPr>
            <sz val="10"/>
            <rFont val="Arial"/>
            <family val="2"/>
          </rPr>
          <t xml:space="preserve">some parking gaps</t>
        </r>
      </text>
    </comment>
    <comment ref="L8" authorId="0">
      <text>
        <r>
          <rPr>
            <sz val="10"/>
            <rFont val="Arial"/>
            <family val="2"/>
          </rPr>
          <t xml:space="preserve">lamppost-lined continuous wall, dining spills</t>
        </r>
      </text>
    </comment>
    <comment ref="L9" authorId="0">
      <text>
        <r>
          <rPr>
            <sz val="10"/>
            <rFont val="Arial"/>
            <family val="2"/>
          </rPr>
          <t xml:space="preserve">partial wall, gaps</t>
        </r>
      </text>
    </comment>
    <comment ref="L10" authorId="0">
      <text>
        <r>
          <rPr>
            <sz val="10"/>
            <rFont val="Arial"/>
            <family val="2"/>
          </rPr>
          <t xml:space="preserve">strip plazas, cul-de-sacs</t>
        </r>
      </text>
    </comment>
    <comment ref="L11" authorId="0">
      <text>
        <r>
          <rPr>
            <sz val="10"/>
            <rFont val="Arial"/>
            <family val="2"/>
          </rPr>
          <t xml:space="preserve">dense unbroken Italianate wall</t>
        </r>
      </text>
    </comment>
    <comment ref="L12" authorId="0">
      <text>
        <r>
          <rPr>
            <sz val="10"/>
            <rFont val="Arial"/>
            <family val="2"/>
          </rPr>
          <t xml:space="preserve">mixed gaps</t>
        </r>
      </text>
    </comment>
    <comment ref="L13" authorId="0">
      <text>
        <r>
          <rPr>
            <sz val="10"/>
            <rFont val="Arial"/>
            <family val="2"/>
          </rPr>
          <t xml:space="preserve">continuous brick wall</t>
        </r>
      </text>
    </comment>
    <comment ref="L16" authorId="0">
      <text>
        <r>
          <rPr>
            <sz val="10"/>
            <rFont val="Arial"/>
            <family val="2"/>
          </rPr>
          <t xml:space="preserve">unbroken Venetian wall</t>
        </r>
      </text>
    </comment>
    <comment ref="L17" authorId="0">
      <text>
        <r>
          <rPr>
            <sz val="10"/>
            <rFont val="Arial"/>
            <family val="2"/>
          </rPr>
          <t xml:space="preserve">resort village</t>
        </r>
      </text>
    </comment>
    <comment ref="L18" authorId="0">
      <text>
        <r>
          <rPr>
            <sz val="10"/>
            <rFont val="Arial"/>
            <family val="2"/>
          </rPr>
          <t xml:space="preserve">continuous baroque wall</t>
        </r>
      </text>
    </comment>
    <comment ref="N6" authorId="0">
      <text>
        <r>
          <rPr>
            <sz val="10"/>
            <rFont val="Arial"/>
            <family val="2"/>
          </rPr>
          <t xml:space="preserve">cars run down Walnut; sidewalks only — not pedestrianized</t>
        </r>
      </text>
    </comment>
    <comment ref="N7" authorId="0">
      <text>
        <r>
          <rPr>
            <sz val="10"/>
            <rFont val="Arial"/>
            <family val="2"/>
          </rPr>
          <t xml:space="preserve">cars through; sidewalks</t>
        </r>
      </text>
    </comment>
    <comment ref="N8" authorId="0">
      <text>
        <r>
          <rPr>
            <sz val="10"/>
            <rFont val="Arial"/>
            <family val="2"/>
          </rPr>
          <t xml:space="preserve">cars on Beaver but calm, walkable feel</t>
        </r>
      </text>
    </comment>
    <comment ref="N9" authorId="0">
      <text>
        <r>
          <rPr>
            <sz val="10"/>
            <rFont val="Arial"/>
            <family val="2"/>
          </rPr>
          <t xml:space="preserve">cars through</t>
        </r>
      </text>
    </comment>
    <comment ref="N10" authorId="0">
      <text>
        <r>
          <rPr>
            <sz val="10"/>
            <rFont val="Arial"/>
            <family val="2"/>
          </rPr>
          <t xml:space="preserve">car-dependent</t>
        </r>
      </text>
    </comment>
    <comment ref="N11" authorId="0">
      <text>
        <r>
          <rPr>
            <sz val="10"/>
            <rFont val="Arial"/>
            <family val="2"/>
          </rPr>
          <t xml:space="preserve">streetcar+some calmed; Washington Park car-free</t>
        </r>
      </text>
    </comment>
    <comment ref="N12" authorId="0">
      <text>
        <r>
          <rPr>
            <sz val="10"/>
            <rFont val="Arial"/>
            <family val="2"/>
          </rPr>
          <t xml:space="preserve">cars through; walkable</t>
        </r>
      </text>
    </comment>
    <comment ref="N13" authorId="0">
      <text>
        <r>
          <rPr>
            <sz val="10"/>
            <rFont val="Arial"/>
            <family val="2"/>
          </rPr>
          <t xml:space="preserve">cars on most; Penn Sq calmed; market area walkable</t>
        </r>
      </text>
    </comment>
    <comment ref="N16" authorId="0">
      <text>
        <r>
          <rPr>
            <sz val="10"/>
            <rFont val="Arial"/>
            <family val="2"/>
          </rPr>
          <t xml:space="preserve">fully car-free</t>
        </r>
      </text>
    </comment>
    <comment ref="N17" authorId="0">
      <text>
        <r>
          <rPr>
            <sz val="10"/>
            <rFont val="Arial"/>
            <family val="2"/>
          </rPr>
          <t xml:space="preserve">lake path car-free</t>
        </r>
      </text>
    </comment>
    <comment ref="N18" authorId="0">
      <text>
        <r>
          <rPr>
            <sz val="10"/>
            <rFont val="Arial"/>
            <family val="2"/>
          </rPr>
          <t xml:space="preserve">center car-banned 2007</t>
        </r>
      </text>
    </comment>
    <comment ref="P6" authorId="0">
      <text>
        <r>
          <rPr>
            <sz val="10"/>
            <rFont val="Arial"/>
            <family val="2"/>
          </rPr>
          <t xml:space="preserve">no real plaza; small pocket spots</t>
        </r>
      </text>
    </comment>
    <comment ref="P7" authorId="0">
      <text>
        <r>
          <rPr>
            <sz val="10"/>
            <rFont val="Arial"/>
            <family val="2"/>
          </rPr>
          <t xml:space="preserve">no plaza</t>
        </r>
      </text>
    </comment>
    <comment ref="P8" authorId="0">
      <text>
        <r>
          <rPr>
            <sz val="10"/>
            <rFont val="Arial"/>
            <family val="2"/>
          </rPr>
          <t xml:space="preserve">no central plaza</t>
        </r>
      </text>
    </comment>
    <comment ref="P9" authorId="0">
      <text>
        <r>
          <rPr>
            <sz val="10"/>
            <rFont val="Arial"/>
            <family val="2"/>
          </rPr>
          <t xml:space="preserve">none</t>
        </r>
      </text>
    </comment>
    <comment ref="P10" authorId="0">
      <text>
        <r>
          <rPr>
            <sz val="10"/>
            <rFont val="Arial"/>
            <family val="2"/>
          </rPr>
          <t xml:space="preserve">none</t>
        </r>
      </text>
    </comment>
    <comment ref="P11" authorId="0">
      <text>
        <r>
          <rPr>
            <sz val="10"/>
            <rFont val="Arial"/>
            <family val="2"/>
          </rPr>
          <t xml:space="preserve">Washington Park + Findlay, programmed daily</t>
        </r>
      </text>
    </comment>
    <comment ref="P12" authorId="0">
      <text>
        <r>
          <rPr>
            <sz val="10"/>
            <rFont val="Arial"/>
            <family val="2"/>
          </rPr>
          <t xml:space="preserve">Lincoln Park small green</t>
        </r>
      </text>
    </comment>
    <comment ref="P13" authorId="0">
      <text>
        <r>
          <rPr>
            <sz val="10"/>
            <rFont val="Arial"/>
            <family val="2"/>
          </rPr>
          <t xml:space="preserve">Penn Sq + Central Market, programmed</t>
        </r>
      </text>
    </comment>
    <comment ref="P16" authorId="0">
      <text>
        <r>
          <rPr>
            <sz val="10"/>
            <rFont val="Arial"/>
            <family val="2"/>
          </rPr>
          <t xml:space="preserve">Tartini Sq</t>
        </r>
      </text>
    </comment>
    <comment ref="P17" authorId="0">
      <text>
        <r>
          <rPr>
            <sz val="10"/>
            <rFont val="Arial"/>
            <family val="2"/>
          </rPr>
          <t xml:space="preserve">lakefront is realm</t>
        </r>
      </text>
    </comment>
    <comment ref="P18" authorId="0">
      <text>
        <r>
          <rPr>
            <sz val="10"/>
            <rFont val="Arial"/>
            <family val="2"/>
          </rPr>
          <t xml:space="preserve">Prešeren+embankments</t>
        </r>
      </text>
    </comment>
    <comment ref="R6" authorId="0">
      <text>
        <r>
          <rPr>
            <sz val="10"/>
            <rFont val="Arial"/>
            <family val="2"/>
          </rPr>
          <t xml:space="preserve">dense storefronts fronting Walnut</t>
        </r>
      </text>
    </comment>
    <comment ref="R7" authorId="0">
      <text>
        <r>
          <rPr>
            <sz val="10"/>
            <rFont val="Arial"/>
            <family val="2"/>
          </rPr>
          <t xml:space="preserve">shops front the blvd</t>
        </r>
      </text>
    </comment>
    <comment ref="R8" authorId="0">
      <text>
        <r>
          <rPr>
            <sz val="10"/>
            <rFont val="Arial"/>
            <family val="2"/>
          </rPr>
          <t xml:space="preserve">dense indie storefronts front Beaver</t>
        </r>
      </text>
    </comment>
    <comment ref="R9" authorId="0">
      <text>
        <r>
          <rPr>
            <sz val="10"/>
            <rFont val="Arial"/>
            <family val="2"/>
          </rPr>
          <t xml:space="preserve">modest storefront count</t>
        </r>
      </text>
    </comment>
    <comment ref="R10" authorId="0">
      <text>
        <r>
          <rPr>
            <sz val="10"/>
            <rFont val="Arial"/>
            <family val="2"/>
          </rPr>
          <t xml:space="preserve">strip-mall, parking-fronted</t>
        </r>
      </text>
    </comment>
    <comment ref="R11" authorId="0">
      <text>
        <r>
          <rPr>
            <sz val="10"/>
            <rFont val="Arial"/>
            <family val="2"/>
          </rPr>
          <t xml:space="preserve">Vine St wall of storefronts</t>
        </r>
      </text>
    </comment>
    <comment ref="R12" authorId="0">
      <text>
        <r>
          <rPr>
            <sz val="10"/>
            <rFont val="Arial"/>
            <family val="2"/>
          </rPr>
          <t xml:space="preserve">storefronts on Professor/Literary</t>
        </r>
      </text>
    </comment>
    <comment ref="R13" authorId="0">
      <text>
        <r>
          <rPr>
            <sz val="10"/>
            <rFont val="Arial"/>
            <family val="2"/>
          </rPr>
          <t xml:space="preserve">storefronts front the square/market</t>
        </r>
      </text>
    </comment>
    <comment ref="R16" authorId="0">
      <text>
        <r>
          <rPr>
            <sz val="10"/>
            <rFont val="Arial"/>
            <family val="2"/>
          </rPr>
          <t xml:space="preserve">cafes ring square+quay</t>
        </r>
      </text>
    </comment>
    <comment ref="R17" authorId="0">
      <text>
        <r>
          <rPr>
            <sz val="10"/>
            <rFont val="Arial"/>
            <family val="2"/>
          </rPr>
          <t xml:space="preserve">hotels/cafes on path</t>
        </r>
      </text>
    </comment>
    <comment ref="R18" authorId="0">
      <text>
        <r>
          <rPr>
            <sz val="10"/>
            <rFont val="Arial"/>
            <family val="2"/>
          </rPr>
          <t xml:space="preserve">cafe-lined embankments</t>
        </r>
      </text>
    </comment>
    <comment ref="T6" authorId="0">
      <text>
        <r>
          <rPr>
            <sz val="10"/>
            <rFont val="Arial"/>
            <family val="2"/>
          </rPr>
          <t xml:space="preserve">linear retail spine, no square</t>
        </r>
      </text>
    </comment>
    <comment ref="T7" authorId="0">
      <text>
        <r>
          <rPr>
            <sz val="10"/>
            <rFont val="Arial"/>
            <family val="2"/>
          </rPr>
          <t xml:space="preserve">linear spine</t>
        </r>
      </text>
    </comment>
    <comment ref="T8" authorId="0">
      <text>
        <r>
          <rPr>
            <sz val="10"/>
            <rFont val="Arial"/>
            <family val="2"/>
          </rPr>
          <t xml:space="preserve">linear village spine</t>
        </r>
      </text>
    </comment>
    <comment ref="T9" authorId="0">
      <text>
        <r>
          <rPr>
            <sz val="10"/>
            <rFont val="Arial"/>
            <family val="2"/>
          </rPr>
          <t xml:space="preserve">thin linear spine</t>
        </r>
      </text>
    </comment>
    <comment ref="T10" authorId="0">
      <text>
        <r>
          <rPr>
            <sz val="10"/>
            <rFont val="Arial"/>
            <family val="2"/>
          </rPr>
          <t xml:space="preserve">no public realm</t>
        </r>
      </text>
    </comment>
    <comment ref="T11" authorId="0">
      <text>
        <r>
          <rPr>
            <sz val="10"/>
            <rFont val="Arial"/>
            <family val="2"/>
          </rPr>
          <t xml:space="preserve">true square (Wash Park) + market</t>
        </r>
      </text>
    </comment>
    <comment ref="T12" authorId="0">
      <text>
        <r>
          <rPr>
            <sz val="10"/>
            <rFont val="Arial"/>
            <family val="2"/>
          </rPr>
          <t xml:space="preserve">small square + spine</t>
        </r>
      </text>
    </comment>
    <comment ref="T13" authorId="0">
      <text>
        <r>
          <rPr>
            <sz val="10"/>
            <rFont val="Arial"/>
            <family val="2"/>
          </rPr>
          <t xml:space="preserve">true square + oldest US market</t>
        </r>
      </text>
    </comment>
    <comment ref="T16" authorId="0">
      <text>
        <r>
          <rPr>
            <sz val="10"/>
            <rFont val="Arial"/>
            <family val="2"/>
          </rPr>
          <t xml:space="preserve">square+sea promenade</t>
        </r>
      </text>
    </comment>
    <comment ref="T17" authorId="0">
      <text>
        <r>
          <rPr>
            <sz val="10"/>
            <rFont val="Arial"/>
            <family val="2"/>
          </rPr>
          <t xml:space="preserve">linear lakefront</t>
        </r>
      </text>
    </comment>
    <comment ref="T18" authorId="0">
      <text>
        <r>
          <rPr>
            <sz val="10"/>
            <rFont val="Arial"/>
            <family val="2"/>
          </rPr>
          <t xml:space="preserve">square+river system</t>
        </r>
      </text>
    </comment>
    <comment ref="V6" authorId="0">
      <text>
        <r>
          <rPr>
            <sz val="10"/>
            <rFont val="Arial"/>
            <family val="2"/>
          </rPr>
          <t xml:space="preserve">15,100/sqmi</t>
        </r>
      </text>
    </comment>
    <comment ref="V7" authorId="0">
      <text>
        <r>
          <rPr>
            <sz val="10"/>
            <rFont val="Arial"/>
            <family val="2"/>
          </rPr>
          <t xml:space="preserve">suburban borough</t>
        </r>
      </text>
    </comment>
    <comment ref="V8" authorId="0">
      <text>
        <r>
          <rPr>
            <sz val="10"/>
            <rFont val="Arial"/>
            <family val="2"/>
          </rPr>
          <t xml:space="preserve">~3,400/sqmi borough</t>
        </r>
      </text>
    </comment>
    <comment ref="V9" authorId="0">
      <text>
        <r>
          <rPr>
            <sz val="10"/>
            <rFont val="Arial"/>
            <family val="2"/>
          </rPr>
          <t xml:space="preserve">small borough</t>
        </r>
      </text>
    </comment>
    <comment ref="V10" authorId="0">
      <text>
        <r>
          <rPr>
            <sz val="10"/>
            <rFont val="Arial"/>
            <family val="2"/>
          </rPr>
          <t xml:space="preserve">low suburban</t>
        </r>
      </text>
    </comment>
    <comment ref="V11" authorId="0">
      <text>
        <r>
          <rPr>
            <sz val="10"/>
            <rFont val="Arial"/>
            <family val="2"/>
          </rPr>
          <t xml:space="preserve">~17k/sqmi</t>
        </r>
      </text>
    </comment>
    <comment ref="V12" authorId="0">
      <text>
        <r>
          <rPr>
            <sz val="10"/>
            <rFont val="Arial"/>
            <family val="2"/>
          </rPr>
          <t xml:space="preserve">~7k FLAG</t>
        </r>
      </text>
    </comment>
    <comment ref="V13" authorId="0">
      <text>
        <r>
          <rPr>
            <sz val="10"/>
            <rFont val="Arial"/>
            <family val="2"/>
          </rPr>
          <t xml:space="preserve">~7,900 city FLAG</t>
        </r>
      </text>
    </comment>
    <comment ref="V16" authorId="0">
      <text>
        <r>
          <rPr>
            <sz val="10"/>
            <rFont val="Arial"/>
            <family val="2"/>
          </rPr>
          <t xml:space="preserve">~13800/sqmi</t>
        </r>
      </text>
    </comment>
    <comment ref="V17" authorId="0">
      <text>
        <r>
          <rPr>
            <sz val="10"/>
            <rFont val="Arial"/>
            <family val="2"/>
          </rPr>
          <t xml:space="preserve">spread resort</t>
        </r>
      </text>
    </comment>
    <comment ref="V18" authorId="0">
      <text>
        <r>
          <rPr>
            <sz val="10"/>
            <rFont val="Arial"/>
            <family val="2"/>
          </rPr>
          <t xml:space="preserve">dense core</t>
        </r>
      </text>
    </comment>
    <comment ref="X6" authorId="0">
      <text>
        <r>
          <rPr>
            <sz val="10"/>
            <rFont val="Arial"/>
            <family val="2"/>
          </rPr>
          <t xml:space="preserve">~6-8%</t>
        </r>
      </text>
    </comment>
    <comment ref="X7" authorId="0">
      <text>
        <r>
          <rPr>
            <sz val="10"/>
            <rFont val="Arial"/>
            <family val="2"/>
          </rPr>
          <t xml:space="preserve">low</t>
        </r>
      </text>
    </comment>
    <comment ref="X8" authorId="0">
      <text>
        <r>
          <rPr>
            <sz val="10"/>
            <rFont val="Arial"/>
            <family val="2"/>
          </rPr>
          <t xml:space="preserve">low</t>
        </r>
      </text>
    </comment>
    <comment ref="X9" authorId="0">
      <text>
        <r>
          <rPr>
            <sz val="10"/>
            <rFont val="Arial"/>
            <family val="2"/>
          </rPr>
          <t xml:space="preserve">some vacancy</t>
        </r>
      </text>
    </comment>
    <comment ref="X10" authorId="0">
      <text>
        <r>
          <rPr>
            <sz val="10"/>
            <rFont val="Arial"/>
            <family val="2"/>
          </rPr>
          <t xml:space="preserve">very low</t>
        </r>
      </text>
    </comment>
    <comment ref="X11" authorId="0">
      <text>
        <r>
          <rPr>
            <sz val="10"/>
            <rFont val="Arial"/>
            <family val="2"/>
          </rPr>
          <t xml:space="preserve">~14% FLAG</t>
        </r>
      </text>
    </comment>
    <comment ref="X12" authorId="0">
      <text>
        <r>
          <rPr>
            <sz val="10"/>
            <rFont val="Arial"/>
            <family val="2"/>
          </rPr>
          <t xml:space="preserve">~12% FLAG</t>
        </r>
      </text>
    </comment>
    <comment ref="X13" authorId="0">
      <text>
        <r>
          <rPr>
            <sz val="10"/>
            <rFont val="Arial"/>
            <family val="2"/>
          </rPr>
          <t xml:space="preserve">~10% FLAG</t>
        </r>
      </text>
    </comment>
    <comment ref="X16" authorId="0">
      <text>
        <r>
          <rPr>
            <sz val="10"/>
            <rFont val="Arial"/>
            <family val="2"/>
          </rPr>
          <t xml:space="preserve">seasonal FLAG</t>
        </r>
      </text>
    </comment>
    <comment ref="X17" authorId="0">
      <text>
        <r>
          <rPr>
            <sz val="10"/>
            <rFont val="Arial"/>
            <family val="2"/>
          </rPr>
          <t xml:space="preserve">seasonal FLAG</t>
        </r>
      </text>
    </comment>
    <comment ref="X18" authorId="0">
      <text>
        <r>
          <rPr>
            <sz val="10"/>
            <rFont val="Arial"/>
            <family val="2"/>
          </rPr>
          <t xml:space="preserve">moderate</t>
        </r>
      </text>
    </comment>
    <comment ref="Z6" authorId="0">
      <text>
        <r>
          <rPr>
            <sz val="10"/>
            <rFont val="Arial"/>
            <family val="2"/>
          </rPr>
          <t xml:space="preserve">TJs+groceries</t>
        </r>
      </text>
    </comment>
    <comment ref="Z7" authorId="0">
      <text>
        <r>
          <rPr>
            <sz val="10"/>
            <rFont val="Arial"/>
            <family val="2"/>
          </rPr>
          <t xml:space="preserve">some grocery</t>
        </r>
      </text>
    </comment>
    <comment ref="Z8" authorId="0">
      <text>
        <r>
          <rPr>
            <sz val="10"/>
            <rFont val="Arial"/>
            <family val="2"/>
          </rPr>
          <t xml:space="preserve">Mics Market+</t>
        </r>
      </text>
    </comment>
    <comment ref="Z9" authorId="0">
      <text>
        <r>
          <rPr>
            <sz val="10"/>
            <rFont val="Arial"/>
            <family val="2"/>
          </rPr>
          <t xml:space="preserve">limited</t>
        </r>
      </text>
    </comment>
    <comment ref="Z10" authorId="0">
      <text>
        <r>
          <rPr>
            <sz val="10"/>
            <rFont val="Arial"/>
            <family val="2"/>
          </rPr>
          <t xml:space="preserve">strip grocery by car</t>
        </r>
      </text>
    </comment>
    <comment ref="Z11" authorId="0">
      <text>
        <r>
          <rPr>
            <sz val="10"/>
            <rFont val="Arial"/>
            <family val="2"/>
          </rPr>
          <t xml:space="preserve">Findlay Market</t>
        </r>
      </text>
    </comment>
    <comment ref="Z12" authorId="0">
      <text>
        <r>
          <rPr>
            <sz val="10"/>
            <rFont val="Arial"/>
            <family val="2"/>
          </rPr>
          <t xml:space="preserve">limited core grocery</t>
        </r>
      </text>
    </comment>
    <comment ref="Z13" authorId="0">
      <text>
        <r>
          <rPr>
            <sz val="10"/>
            <rFont val="Arial"/>
            <family val="2"/>
          </rPr>
          <t xml:space="preserve">Central Market</t>
        </r>
      </text>
    </comment>
    <comment ref="Z16" authorId="0">
      <text>
        <r>
          <rPr>
            <sz val="10"/>
            <rFont val="Arial"/>
            <family val="2"/>
          </rPr>
          <t xml:space="preserve">fish mkt+grocers</t>
        </r>
      </text>
    </comment>
    <comment ref="Z17" authorId="0">
      <text>
        <r>
          <rPr>
            <sz val="10"/>
            <rFont val="Arial"/>
            <family val="2"/>
          </rPr>
          <t xml:space="preserve">town grocers</t>
        </r>
      </text>
    </comment>
    <comment ref="Z18" authorId="0">
      <text>
        <r>
          <rPr>
            <sz val="10"/>
            <rFont val="Arial"/>
            <family val="2"/>
          </rPr>
          <t xml:space="preserve">Central Market</t>
        </r>
      </text>
    </comment>
    <comment ref="AB6" authorId="0">
      <text>
        <r>
          <rPr>
            <sz val="10"/>
            <rFont val="Arial"/>
            <family val="2"/>
          </rPr>
          <t xml:space="preserve">~90s</t>
        </r>
      </text>
    </comment>
    <comment ref="AB7" authorId="0">
      <text>
        <r>
          <rPr>
            <sz val="10"/>
            <rFont val="Arial"/>
            <family val="2"/>
          </rPr>
          <t xml:space="preserve">walkable core est</t>
        </r>
      </text>
    </comment>
    <comment ref="AB8" authorId="0">
      <text>
        <r>
          <rPr>
            <sz val="10"/>
            <rFont val="Arial"/>
            <family val="2"/>
          </rPr>
          <t xml:space="preserve">walkable est</t>
        </r>
      </text>
    </comment>
    <comment ref="AB9" authorId="0">
      <text>
        <r>
          <rPr>
            <sz val="10"/>
            <rFont val="Arial"/>
            <family val="2"/>
          </rPr>
          <t xml:space="preserve">est</t>
        </r>
      </text>
    </comment>
    <comment ref="AB10" authorId="0">
      <text>
        <r>
          <rPr>
            <sz val="10"/>
            <rFont val="Arial"/>
            <family val="2"/>
          </rPr>
          <t xml:space="preserve">car-dependent</t>
        </r>
      </text>
    </comment>
    <comment ref="AB11" authorId="0">
      <text>
        <r>
          <rPr>
            <sz val="10"/>
            <rFont val="Arial"/>
            <family val="2"/>
          </rPr>
          <t xml:space="preserve">94</t>
        </r>
      </text>
    </comment>
    <comment ref="AB12" authorId="0">
      <text>
        <r>
          <rPr>
            <sz val="10"/>
            <rFont val="Arial"/>
            <family val="2"/>
          </rPr>
          <t xml:space="preserve">74</t>
        </r>
      </text>
    </comment>
    <comment ref="AB13" authorId="0">
      <text>
        <r>
          <rPr>
            <sz val="10"/>
            <rFont val="Arial"/>
            <family val="2"/>
          </rPr>
          <t xml:space="preserve">est high VERIFY</t>
        </r>
      </text>
    </comment>
    <comment ref="AB16" authorId="0">
      <text>
        <r>
          <rPr>
            <sz val="10"/>
            <rFont val="Arial"/>
            <family val="2"/>
          </rPr>
          <t xml:space="preserve">all on foot</t>
        </r>
      </text>
    </comment>
    <comment ref="AB17" authorId="0">
      <text>
        <r>
          <rPr>
            <sz val="10"/>
            <rFont val="Arial"/>
            <family val="2"/>
          </rPr>
          <t xml:space="preserve">walkable lakeside</t>
        </r>
      </text>
    </comment>
    <comment ref="AB18" authorId="0">
      <text>
        <r>
          <rPr>
            <sz val="10"/>
            <rFont val="Arial"/>
            <family val="2"/>
          </rPr>
          <t xml:space="preserve">car-free center</t>
        </r>
      </text>
    </comment>
    <comment ref="AD6" authorId="0">
      <text>
        <r>
          <rPr>
            <sz val="10"/>
            <rFont val="Arial"/>
            <family val="2"/>
          </rPr>
          <t xml:space="preserve">40+ Walnut</t>
        </r>
      </text>
    </comment>
    <comment ref="AD7" authorId="0">
      <text>
        <r>
          <rPr>
            <sz val="10"/>
            <rFont val="Arial"/>
            <family val="2"/>
          </rPr>
          <t xml:space="preserve">~10-20</t>
        </r>
      </text>
    </comment>
    <comment ref="AD8" authorId="0">
      <text>
        <r>
          <rPr>
            <sz val="10"/>
            <rFont val="Arial"/>
            <family val="2"/>
          </rPr>
          <t xml:space="preserve">Mediterra/Press House/Lula ~15-20</t>
        </r>
      </text>
    </comment>
    <comment ref="AD9" authorId="0">
      <text>
        <r>
          <rPr>
            <sz val="10"/>
            <rFont val="Arial"/>
            <family val="2"/>
          </rPr>
          <t xml:space="preserve">&lt;10</t>
        </r>
      </text>
    </comment>
    <comment ref="AD10" authorId="0">
      <text>
        <r>
          <rPr>
            <sz val="10"/>
            <rFont val="Arial"/>
            <family val="2"/>
          </rPr>
          <t xml:space="preserve">&lt;10 by car</t>
        </r>
      </text>
    </comment>
    <comment ref="AD11" authorId="0">
      <text>
        <r>
          <rPr>
            <sz val="10"/>
            <rFont val="Arial"/>
            <family val="2"/>
          </rPr>
          <t xml:space="preserve">Vine 40+</t>
        </r>
      </text>
    </comment>
    <comment ref="AD12" authorId="0">
      <text>
        <r>
          <rPr>
            <sz val="10"/>
            <rFont val="Arial"/>
            <family val="2"/>
          </rPr>
          <t xml:space="preserve">26 restaurants</t>
        </r>
      </text>
    </comment>
    <comment ref="AD13" authorId="0">
      <text>
        <r>
          <rPr>
            <sz val="10"/>
            <rFont val="Arial"/>
            <family val="2"/>
          </rPr>
          <t xml:space="preserve">market district</t>
        </r>
      </text>
    </comment>
    <comment ref="AD16" authorId="0">
      <text>
        <r>
          <rPr>
            <sz val="10"/>
            <rFont val="Arial"/>
            <family val="2"/>
          </rPr>
          <t xml:space="preserve">quay dense</t>
        </r>
      </text>
    </comment>
    <comment ref="AD17" authorId="0">
      <text>
        <r>
          <rPr>
            <sz val="10"/>
            <rFont val="Arial"/>
            <family val="2"/>
          </rPr>
          <t xml:space="preserve">lakefront</t>
        </r>
      </text>
    </comment>
    <comment ref="AD18" authorId="0">
      <text>
        <r>
          <rPr>
            <sz val="10"/>
            <rFont val="Arial"/>
            <family val="2"/>
          </rPr>
          <t xml:space="preserve">riverfront wall</t>
        </r>
      </text>
    </comment>
    <comment ref="AF6" authorId="0">
      <text>
        <r>
          <rPr>
            <sz val="10"/>
            <rFont val="Arial"/>
            <family val="2"/>
          </rPr>
          <t xml:space="preserve">~110</t>
        </r>
      </text>
    </comment>
    <comment ref="AF7" authorId="0">
      <text>
        <r>
          <rPr>
            <sz val="10"/>
            <rFont val="Arial"/>
            <family val="2"/>
          </rPr>
          <t xml:space="preserve">~110</t>
        </r>
      </text>
    </comment>
    <comment ref="AF8" authorId="0">
      <text>
        <r>
          <rPr>
            <sz val="10"/>
            <rFont val="Arial"/>
            <family val="2"/>
          </rPr>
          <t xml:space="preserve">~110</t>
        </r>
      </text>
    </comment>
    <comment ref="AF9" authorId="0">
      <text>
        <r>
          <rPr>
            <sz val="10"/>
            <rFont val="Arial"/>
            <family val="2"/>
          </rPr>
          <t xml:space="preserve">~110</t>
        </r>
      </text>
    </comment>
    <comment ref="AF10" authorId="0">
      <text>
        <r>
          <rPr>
            <sz val="10"/>
            <rFont val="Arial"/>
            <family val="2"/>
          </rPr>
          <t xml:space="preserve">~110</t>
        </r>
      </text>
    </comment>
    <comment ref="AF11" authorId="0">
      <text>
        <r>
          <rPr>
            <sz val="10"/>
            <rFont val="Arial"/>
            <family val="2"/>
          </rPr>
          <t xml:space="preserve">~95</t>
        </r>
      </text>
    </comment>
    <comment ref="AF12" authorId="0">
      <text>
        <r>
          <rPr>
            <sz val="10"/>
            <rFont val="Arial"/>
            <family val="2"/>
          </rPr>
          <t xml:space="preserve">~120+</t>
        </r>
      </text>
    </comment>
    <comment ref="AF13" authorId="0">
      <text>
        <r>
          <rPr>
            <sz val="10"/>
            <rFont val="Arial"/>
            <family val="2"/>
          </rPr>
          <t xml:space="preserve">~100</t>
        </r>
      </text>
    </comment>
    <comment ref="AF16" authorId="0">
      <text>
        <r>
          <rPr>
            <sz val="10"/>
            <rFont val="Arial"/>
            <family val="2"/>
          </rPr>
          <t xml:space="preserve">frost rare 4-8C</t>
        </r>
      </text>
    </comment>
    <comment ref="AF17" authorId="0">
      <text>
        <r>
          <rPr>
            <sz val="10"/>
            <rFont val="Arial"/>
            <family val="2"/>
          </rPr>
          <t xml:space="preserve">alpine snow</t>
        </r>
      </text>
    </comment>
    <comment ref="AF18" authorId="0">
      <text>
        <r>
          <rPr>
            <sz val="10"/>
            <rFont val="Arial"/>
            <family val="2"/>
          </rPr>
          <t xml:space="preserve">continental snow</t>
        </r>
      </text>
    </comment>
    <comment ref="AH6" authorId="0">
      <text>
        <r>
          <rPr>
            <sz val="10"/>
            <rFont val="Arial"/>
            <family val="2"/>
          </rPr>
          <t xml:space="preserve">~155 cloudy</t>
        </r>
      </text>
    </comment>
    <comment ref="AH7" authorId="0">
      <text>
        <r>
          <rPr>
            <sz val="10"/>
            <rFont val="Arial"/>
            <family val="2"/>
          </rPr>
          <t xml:space="preserve">~155</t>
        </r>
      </text>
    </comment>
    <comment ref="AH8" authorId="0">
      <text>
        <r>
          <rPr>
            <sz val="10"/>
            <rFont val="Arial"/>
            <family val="2"/>
          </rPr>
          <t xml:space="preserve">~155</t>
        </r>
      </text>
    </comment>
    <comment ref="AH9" authorId="0">
      <text>
        <r>
          <rPr>
            <sz val="10"/>
            <rFont val="Arial"/>
            <family val="2"/>
          </rPr>
          <t xml:space="preserve">~155</t>
        </r>
      </text>
    </comment>
    <comment ref="AH10" authorId="0">
      <text>
        <r>
          <rPr>
            <sz val="10"/>
            <rFont val="Arial"/>
            <family val="2"/>
          </rPr>
          <t xml:space="preserve">~155</t>
        </r>
      </text>
    </comment>
    <comment ref="AH11" authorId="0">
      <text>
        <r>
          <rPr>
            <sz val="10"/>
            <rFont val="Arial"/>
            <family val="2"/>
          </rPr>
          <t xml:space="preserve">~180</t>
        </r>
      </text>
    </comment>
    <comment ref="AH12" authorId="0">
      <text>
        <r>
          <rPr>
            <sz val="10"/>
            <rFont val="Arial"/>
            <family val="2"/>
          </rPr>
          <t xml:space="preserve">~160</t>
        </r>
      </text>
    </comment>
    <comment ref="AH13" authorId="0">
      <text>
        <r>
          <rPr>
            <sz val="10"/>
            <rFont val="Arial"/>
            <family val="2"/>
          </rPr>
          <t xml:space="preserve">~180</t>
        </r>
      </text>
    </comment>
    <comment ref="AH16" authorId="0">
      <text>
        <r>
          <rPr>
            <sz val="10"/>
            <rFont val="Arial"/>
            <family val="2"/>
          </rPr>
          <t xml:space="preserve">Mediterranean</t>
        </r>
      </text>
    </comment>
    <comment ref="AH17" authorId="0">
      <text>
        <r>
          <rPr>
            <sz val="10"/>
            <rFont val="Arial"/>
            <family val="2"/>
          </rPr>
          <t xml:space="preserve">alpine cloud</t>
        </r>
      </text>
    </comment>
    <comment ref="AH18" authorId="0">
      <text>
        <r>
          <rPr>
            <sz val="10"/>
            <rFont val="Arial"/>
            <family val="2"/>
          </rPr>
          <t xml:space="preserve">foggy winters</t>
        </r>
      </text>
    </comment>
    <comment ref="AJ6" authorId="0">
      <text>
        <r>
          <rPr>
            <sz val="10"/>
            <rFont val="Arial"/>
            <family val="2"/>
          </rPr>
          <t xml:space="preserve">1860s-80s</t>
        </r>
      </text>
    </comment>
    <comment ref="AJ7" authorId="0">
      <text>
        <r>
          <rPr>
            <sz val="10"/>
            <rFont val="Arial"/>
            <family val="2"/>
          </rPr>
          <t xml:space="preserve">late 1800s</t>
        </r>
      </text>
    </comment>
    <comment ref="AJ8" authorId="0">
      <text>
        <r>
          <rPr>
            <sz val="10"/>
            <rFont val="Arial"/>
            <family val="2"/>
          </rPr>
          <t xml:space="preserve">inc 1853</t>
        </r>
      </text>
    </comment>
    <comment ref="AJ9" authorId="0">
      <text>
        <r>
          <rPr>
            <sz val="10"/>
            <rFont val="Arial"/>
            <family val="2"/>
          </rPr>
          <t xml:space="preserve">late 1800s</t>
        </r>
      </text>
    </comment>
    <comment ref="AJ10" authorId="0">
      <text>
        <r>
          <rPr>
            <sz val="10"/>
            <rFont val="Arial"/>
            <family val="2"/>
          </rPr>
          <t xml:space="preserve">postwar</t>
        </r>
      </text>
    </comment>
    <comment ref="AJ11" authorId="0">
      <text>
        <r>
          <rPr>
            <sz val="10"/>
            <rFont val="Arial"/>
            <family val="2"/>
          </rPr>
          <t xml:space="preserve">1840s NHL</t>
        </r>
      </text>
    </comment>
    <comment ref="AJ12" authorId="0">
      <text>
        <r>
          <rPr>
            <sz val="10"/>
            <rFont val="Arial"/>
            <family val="2"/>
          </rPr>
          <t xml:space="preserve">mid-1800s</t>
        </r>
      </text>
    </comment>
    <comment ref="AJ13" authorId="0">
      <text>
        <r>
          <rPr>
            <sz val="10"/>
            <rFont val="Arial"/>
            <family val="2"/>
          </rPr>
          <t xml:space="preserve">platted 1730</t>
        </r>
      </text>
    </comment>
    <comment ref="AJ16" authorId="0">
      <text>
        <r>
          <rPr>
            <sz val="10"/>
            <rFont val="Arial"/>
            <family val="2"/>
          </rPr>
          <t xml:space="preserve">medieval pre-1300</t>
        </r>
      </text>
    </comment>
    <comment ref="AJ17" authorId="0">
      <text>
        <r>
          <rPr>
            <sz val="10"/>
            <rFont val="Arial"/>
            <family val="2"/>
          </rPr>
          <t xml:space="preserve">old village+resort</t>
        </r>
      </text>
    </comment>
    <comment ref="AJ18" authorId="0">
      <text>
        <r>
          <rPr>
            <sz val="10"/>
            <rFont val="Arial"/>
            <family val="2"/>
          </rPr>
          <t xml:space="preserve">medieval+baroque</t>
        </r>
      </text>
    </comment>
    <comment ref="AL6" authorId="0">
      <text>
        <r>
          <rPr>
            <sz val="10"/>
            <rFont val="Arial"/>
            <family val="2"/>
          </rPr>
          <t xml:space="preserve">partial</t>
        </r>
      </text>
    </comment>
    <comment ref="AL7" authorId="0">
      <text>
        <r>
          <rPr>
            <sz val="10"/>
            <rFont val="Arial"/>
            <family val="2"/>
          </rPr>
          <t xml:space="preserve">some historic</t>
        </r>
      </text>
    </comment>
    <comment ref="AL8" authorId="0">
      <text>
        <r>
          <rPr>
            <sz val="10"/>
            <rFont val="Arial"/>
            <family val="2"/>
          </rPr>
          <t xml:space="preserve">Boundary-Beaver Historic Dist</t>
        </r>
      </text>
    </comment>
    <comment ref="AL9" authorId="0">
      <text>
        <r>
          <rPr>
            <sz val="10"/>
            <rFont val="Arial"/>
            <family val="2"/>
          </rPr>
          <t xml:space="preserve">minimal</t>
        </r>
      </text>
    </comment>
    <comment ref="AL10" authorId="0">
      <text>
        <r>
          <rPr>
            <sz val="10"/>
            <rFont val="Arial"/>
            <family val="2"/>
          </rPr>
          <t xml:space="preserve">none</t>
        </r>
      </text>
    </comment>
    <comment ref="AL11" authorId="0">
      <text>
        <r>
          <rPr>
            <sz val="10"/>
            <rFont val="Arial"/>
            <family val="2"/>
          </rPr>
          <t xml:space="preserve">NHL district</t>
        </r>
      </text>
    </comment>
    <comment ref="AL12" authorId="0">
      <text>
        <r>
          <rPr>
            <sz val="10"/>
            <rFont val="Arial"/>
            <family val="2"/>
          </rPr>
          <t xml:space="preserve">partial</t>
        </r>
      </text>
    </comment>
    <comment ref="AL13" authorId="0">
      <text>
        <r>
          <rPr>
            <sz val="10"/>
            <rFont val="Arial"/>
            <family val="2"/>
          </rPr>
          <t xml:space="preserve">NRHP district</t>
        </r>
      </text>
    </comment>
    <comment ref="AL16" authorId="0">
      <text>
        <r>
          <rPr>
            <sz val="10"/>
            <rFont val="Arial"/>
            <family val="2"/>
          </rPr>
          <t xml:space="preserve">protected town</t>
        </r>
      </text>
    </comment>
    <comment ref="AL17" authorId="0">
      <text>
        <r>
          <rPr>
            <sz val="10"/>
            <rFont val="Arial"/>
            <family val="2"/>
          </rPr>
          <t xml:space="preserve">heritage landscape</t>
        </r>
      </text>
    </comment>
    <comment ref="AL18" authorId="0">
      <text>
        <r>
          <rPr>
            <sz val="10"/>
            <rFont val="Arial"/>
            <family val="2"/>
          </rPr>
          <t xml:space="preserve">protected oldtown</t>
        </r>
      </text>
    </comment>
    <comment ref="AN6" authorId="0">
      <text>
        <r>
          <rPr>
            <sz val="10"/>
            <rFont val="Arial"/>
            <family val="2"/>
          </rPr>
          <t xml:space="preserve">$440K</t>
        </r>
      </text>
    </comment>
    <comment ref="AN7" authorId="0">
      <text>
        <r>
          <rPr>
            <sz val="10"/>
            <rFont val="Arial"/>
            <family val="2"/>
          </rPr>
          <t xml:space="preserve">~$300-400K</t>
        </r>
      </text>
    </comment>
    <comment ref="AN8" authorId="0">
      <text>
        <r>
          <rPr>
            <sz val="10"/>
            <rFont val="Arial"/>
            <family val="2"/>
          </rPr>
          <t xml:space="preserve">~$400-516K</t>
        </r>
      </text>
    </comment>
    <comment ref="AN9" authorId="0">
      <text>
        <r>
          <rPr>
            <sz val="10"/>
            <rFont val="Arial"/>
            <family val="2"/>
          </rPr>
          <t xml:space="preserve">modest</t>
        </r>
      </text>
    </comment>
    <comment ref="AN10" authorId="0">
      <text>
        <r>
          <rPr>
            <sz val="10"/>
            <rFont val="Arial"/>
            <family val="2"/>
          </rPr>
          <t xml:space="preserve">~$300-400K SFH</t>
        </r>
      </text>
    </comment>
    <comment ref="AN11" authorId="0">
      <text>
        <r>
          <rPr>
            <sz val="10"/>
            <rFont val="Arial"/>
            <family val="2"/>
          </rPr>
          <t xml:space="preserve">$330K</t>
        </r>
      </text>
    </comment>
    <comment ref="AN12" authorId="0">
      <text>
        <r>
          <rPr>
            <sz val="10"/>
            <rFont val="Arial"/>
            <family val="2"/>
          </rPr>
          <t xml:space="preserve">$266K FLAG</t>
        </r>
      </text>
    </comment>
    <comment ref="AN13" authorId="0">
      <text>
        <r>
          <rPr>
            <sz val="10"/>
            <rFont val="Arial"/>
            <family val="2"/>
          </rPr>
          <t xml:space="preserve">$255K</t>
        </r>
      </text>
    </comment>
    <comment ref="AN16" authorId="0">
      <text>
        <r>
          <rPr>
            <sz val="10"/>
            <rFont val="Arial"/>
            <family val="2"/>
          </rPr>
          <t xml:space="preserve">high coastal</t>
        </r>
      </text>
    </comment>
    <comment ref="AN17" authorId="0">
      <text>
        <r>
          <rPr>
            <sz val="10"/>
            <rFont val="Arial"/>
            <family val="2"/>
          </rPr>
          <t xml:space="preserve">high resort</t>
        </r>
      </text>
    </comment>
    <comment ref="AN18" authorId="0">
      <text>
        <r>
          <rPr>
            <sz val="10"/>
            <rFont val="Arial"/>
            <family val="2"/>
          </rPr>
          <t xml:space="preserve">capital moderate</t>
        </r>
      </text>
    </comment>
    <comment ref="AP6" authorId="0">
      <text>
        <r>
          <rPr>
            <sz val="10"/>
            <rFont val="Arial"/>
            <family val="2"/>
          </rPr>
          <t xml:space="preserve">low</t>
        </r>
      </text>
    </comment>
    <comment ref="AP7" authorId="0">
      <text>
        <r>
          <rPr>
            <sz val="10"/>
            <rFont val="Arial"/>
            <family val="2"/>
          </rPr>
          <t xml:space="preserve">low</t>
        </r>
      </text>
    </comment>
    <comment ref="AP8" authorId="0">
      <text>
        <r>
          <rPr>
            <sz val="10"/>
            <rFont val="Arial"/>
            <family val="2"/>
          </rPr>
          <t xml:space="preserve">low</t>
        </r>
      </text>
    </comment>
    <comment ref="AP9" authorId="0">
      <text>
        <r>
          <rPr>
            <sz val="10"/>
            <rFont val="Arial"/>
            <family val="2"/>
          </rPr>
          <t xml:space="preserve">very low</t>
        </r>
      </text>
    </comment>
    <comment ref="AP10" authorId="0">
      <text>
        <r>
          <rPr>
            <sz val="10"/>
            <rFont val="Arial"/>
            <family val="2"/>
          </rPr>
          <t xml:space="preserve">none</t>
        </r>
      </text>
    </comment>
    <comment ref="AP11" authorId="0">
      <text>
        <r>
          <rPr>
            <sz val="10"/>
            <rFont val="Arial"/>
            <family val="2"/>
          </rPr>
          <t xml:space="preserve">moderate FLAG</t>
        </r>
      </text>
    </comment>
    <comment ref="AP12" authorId="0">
      <text>
        <r>
          <rPr>
            <sz val="10"/>
            <rFont val="Arial"/>
            <family val="2"/>
          </rPr>
          <t xml:space="preserve">low-mod</t>
        </r>
      </text>
    </comment>
    <comment ref="AP13" authorId="0">
      <text>
        <r>
          <rPr>
            <sz val="10"/>
            <rFont val="Arial"/>
            <family val="2"/>
          </rPr>
          <t xml:space="preserve">low</t>
        </r>
      </text>
    </comment>
    <comment ref="AP16" authorId="0">
      <text>
        <r>
          <rPr>
            <sz val="10"/>
            <rFont val="Arial"/>
            <family val="2"/>
          </rPr>
          <t xml:space="preserve">heavy STR</t>
        </r>
      </text>
    </comment>
    <comment ref="AP17" authorId="0">
      <text>
        <r>
          <rPr>
            <sz val="10"/>
            <rFont val="Arial"/>
            <family val="2"/>
          </rPr>
          <t xml:space="preserve">heavy STR</t>
        </r>
      </text>
    </comment>
    <comment ref="AP18" authorId="0">
      <text>
        <r>
          <rPr>
            <sz val="10"/>
            <rFont val="Arial"/>
            <family val="2"/>
          </rPr>
          <t xml:space="preserve">moderate STR</t>
        </r>
      </text>
    </comment>
  </commentList>
</comments>
</file>

<file path=xl/sharedStrings.xml><?xml version="1.0" encoding="utf-8"?>
<sst xmlns="http://schemas.openxmlformats.org/spreadsheetml/2006/main" count="292" uniqueCount="245">
  <si>
    <t xml:space="preserve">LOCATION SCORING MODEL v3 — equal weights</t>
  </si>
  <si>
    <t xml:space="preserve">Public realm now 4 independent metrics (pedestrianization · size · businesses-fronting · type). ALL WEIGHTS = 1.0 (equal). Blue=input · Yellow=editable weight · Orange=uncertainty. ⚑CTRL = ground-truth you walked.</t>
  </si>
  <si>
    <t xml:space="preserve">WEIGHTS →</t>
  </si>
  <si>
    <t xml:space="preserve">City</t>
  </si>
  <si>
    <t xml:space="preserve">Core measured</t>
  </si>
  <si>
    <t xml:space="preserve">Topo
relief</t>
  </si>
  <si>
    <t xml:space="preserve">0-10</t>
  </si>
  <si>
    <t xml:space="preserve">Major
feature</t>
  </si>
  <si>
    <t xml:space="preserve">Prospect
/view</t>
  </si>
  <si>
    <t xml:space="preserve">Immersion
size</t>
  </si>
  <si>
    <t xml:space="preserve">Enclosure
/wall</t>
  </si>
  <si>
    <t xml:space="preserve">Pedestrian-
ization</t>
  </si>
  <si>
    <t xml:space="preserve">Plaza size
&amp; use</t>
  </si>
  <si>
    <t xml:space="preserve">Biz fronting
public space</t>
  </si>
  <si>
    <t xml:space="preserve">Public-realm
type</t>
  </si>
  <si>
    <t xml:space="preserve">Core
density</t>
  </si>
  <si>
    <t xml:space="preserve">Vacancy+
seasonal</t>
  </si>
  <si>
    <t xml:space="preserve">Daily-needs
biz</t>
  </si>
  <si>
    <t xml:space="preserve">Walk
Score</t>
  </si>
  <si>
    <t xml:space="preserve">Café/bar
count</t>
  </si>
  <si>
    <t xml:space="preserve">Days/yr
&lt;freeze</t>
  </si>
  <si>
    <t xml:space="preserve">Clear
days</t>
  </si>
  <si>
    <t xml:space="preserve">Grid
age</t>
  </si>
  <si>
    <t xml:space="preserve">NRHP
district</t>
  </si>
  <si>
    <t xml:space="preserve">Median
price</t>
  </si>
  <si>
    <t xml:space="preserve">STR/
seasonal</t>
  </si>
  <si>
    <t xml:space="preserve">WTD
TOTAL</t>
  </si>
  <si>
    <t xml:space="preserve">MAX</t>
  </si>
  <si>
    <t xml:space="preserve">%</t>
  </si>
  <si>
    <t xml:space="preserve">TIER</t>
  </si>
  <si>
    <t xml:space="preserve">Shadyside ⚑CTRL</t>
  </si>
  <si>
    <t xml:space="preserve">Walnut/Highland (Yardley Way)</t>
  </si>
  <si>
    <t xml:space="preserve">flat plateau</t>
  </si>
  <si>
    <t xml:space="preserve">no lake/mtn a</t>
  </si>
  <si>
    <t xml:space="preserve">no vista</t>
  </si>
  <si>
    <t xml:space="preserve">~6-8 blks the</t>
  </si>
  <si>
    <t xml:space="preserve">continuous Wa</t>
  </si>
  <si>
    <t xml:space="preserve">cars run down</t>
  </si>
  <si>
    <t xml:space="preserve">no real plaza</t>
  </si>
  <si>
    <t xml:space="preserve">dense storefr</t>
  </si>
  <si>
    <t xml:space="preserve">linear retail</t>
  </si>
  <si>
    <t xml:space="preserve">15,100/sqmi</t>
  </si>
  <si>
    <t xml:space="preserve">~6-8%</t>
  </si>
  <si>
    <t xml:space="preserve">TJs+groceries</t>
  </si>
  <si>
    <t xml:space="preserve">~90s</t>
  </si>
  <si>
    <t xml:space="preserve">40+ Walnut</t>
  </si>
  <si>
    <t xml:space="preserve">~110</t>
  </si>
  <si>
    <t xml:space="preserve">~155 cloudy</t>
  </si>
  <si>
    <t xml:space="preserve">1860s-80s</t>
  </si>
  <si>
    <t xml:space="preserve">partial</t>
  </si>
  <si>
    <t xml:space="preserve">$440K</t>
  </si>
  <si>
    <t xml:space="preserve">low</t>
  </si>
  <si>
    <t xml:space="preserve">Oakmont ⚑CTRL</t>
  </si>
  <si>
    <t xml:space="preserve">Allegheny River Blvd shops</t>
  </si>
  <si>
    <t xml:space="preserve">river valley </t>
  </si>
  <si>
    <t xml:space="preserve">Allegheny R. </t>
  </si>
  <si>
    <t xml:space="preserve">limited river</t>
  </si>
  <si>
    <t xml:space="preserve">short main st</t>
  </si>
  <si>
    <t xml:space="preserve">some parking </t>
  </si>
  <si>
    <t xml:space="preserve">cars through</t>
  </si>
  <si>
    <t xml:space="preserve">no plaza</t>
  </si>
  <si>
    <t xml:space="preserve">shops front t</t>
  </si>
  <si>
    <t xml:space="preserve">linear spine</t>
  </si>
  <si>
    <t xml:space="preserve">suburban boro</t>
  </si>
  <si>
    <t xml:space="preserve">some grocery</t>
  </si>
  <si>
    <t xml:space="preserve">walkable core</t>
  </si>
  <si>
    <t xml:space="preserve">~10-20</t>
  </si>
  <si>
    <t xml:space="preserve">~155</t>
  </si>
  <si>
    <t xml:space="preserve">late 1800s</t>
  </si>
  <si>
    <t xml:space="preserve">some historic</t>
  </si>
  <si>
    <t xml:space="preserve">~$300-400K</t>
  </si>
  <si>
    <t xml:space="preserve">Sewickley ⚑CTRL</t>
  </si>
  <si>
    <t xml:space="preserve">Beaver St downtown</t>
  </si>
  <si>
    <t xml:space="preserve">flat floodpla</t>
  </si>
  <si>
    <t xml:space="preserve">Ohio R adjace</t>
  </si>
  <si>
    <t xml:space="preserve">no vista from</t>
  </si>
  <si>
    <t xml:space="preserve">~8-blk villag</t>
  </si>
  <si>
    <t xml:space="preserve">lamppost-line</t>
  </si>
  <si>
    <t xml:space="preserve">cars on Beave</t>
  </si>
  <si>
    <t xml:space="preserve">no central pl</t>
  </si>
  <si>
    <t xml:space="preserve">dense indie s</t>
  </si>
  <si>
    <t xml:space="preserve">linear villag</t>
  </si>
  <si>
    <t xml:space="preserve">~3,400/sqmi b</t>
  </si>
  <si>
    <t xml:space="preserve">Mics Market+</t>
  </si>
  <si>
    <t xml:space="preserve">walkable est</t>
  </si>
  <si>
    <t xml:space="preserve">Mediterra/Pre</t>
  </si>
  <si>
    <t xml:space="preserve">inc 1853</t>
  </si>
  <si>
    <t xml:space="preserve">Boundary-Beav</t>
  </si>
  <si>
    <t xml:space="preserve">~$400-516K</t>
  </si>
  <si>
    <t xml:space="preserve">Verona ⚑CTRL</t>
  </si>
  <si>
    <t xml:space="preserve">Allegheny River Blvd / main st</t>
  </si>
  <si>
    <t xml:space="preserve">river valley</t>
  </si>
  <si>
    <t xml:space="preserve">Allegheny R a</t>
  </si>
  <si>
    <t xml:space="preserve">limited</t>
  </si>
  <si>
    <t xml:space="preserve">very short ma</t>
  </si>
  <si>
    <t xml:space="preserve">partial wall,</t>
  </si>
  <si>
    <t xml:space="preserve">none</t>
  </si>
  <si>
    <t xml:space="preserve">modest storef</t>
  </si>
  <si>
    <t xml:space="preserve">thin linear s</t>
  </si>
  <si>
    <t xml:space="preserve">small borough</t>
  </si>
  <si>
    <t xml:space="preserve">some vacancy</t>
  </si>
  <si>
    <t xml:space="preserve">est</t>
  </si>
  <si>
    <t xml:space="preserve">&lt;10</t>
  </si>
  <si>
    <t xml:space="preserve">minimal</t>
  </si>
  <si>
    <t xml:space="preserve">modest</t>
  </si>
  <si>
    <t xml:space="preserve">very low</t>
  </si>
  <si>
    <t xml:space="preserve">Allison Park ⚑CTRL</t>
  </si>
  <si>
    <t xml:space="preserve">(your suburb, Hampton Twp)</t>
  </si>
  <si>
    <t xml:space="preserve">rolling subur</t>
  </si>
  <si>
    <t xml:space="preserve">creeks/parks </t>
  </si>
  <si>
    <t xml:space="preserve">no walkable c</t>
  </si>
  <si>
    <t xml:space="preserve">strip plazas,</t>
  </si>
  <si>
    <t xml:space="preserve">car-dependent</t>
  </si>
  <si>
    <t xml:space="preserve">strip-mall, p</t>
  </si>
  <si>
    <t xml:space="preserve">no public rea</t>
  </si>
  <si>
    <t xml:space="preserve">low suburban</t>
  </si>
  <si>
    <t xml:space="preserve">strip grocery</t>
  </si>
  <si>
    <t xml:space="preserve">&lt;10 by car</t>
  </si>
  <si>
    <t xml:space="preserve">postwar</t>
  </si>
  <si>
    <t xml:space="preserve">~$300-400K SF</t>
  </si>
  <si>
    <t xml:space="preserve">Cincinnati</t>
  </si>
  <si>
    <t xml:space="preserve">Over-the-Rhine (45202)</t>
  </si>
  <si>
    <t xml:space="preserve">basin floor, </t>
  </si>
  <si>
    <t xml:space="preserve">Ohio R ~15min</t>
  </si>
  <si>
    <t xml:space="preserve">limited from </t>
  </si>
  <si>
    <t xml:space="preserve">1000+ bldgs, </t>
  </si>
  <si>
    <t xml:space="preserve">dense unbroke</t>
  </si>
  <si>
    <t xml:space="preserve">streetcar+som</t>
  </si>
  <si>
    <t xml:space="preserve">Washington Pa</t>
  </si>
  <si>
    <t xml:space="preserve">Vine St wall </t>
  </si>
  <si>
    <t xml:space="preserve">true square (</t>
  </si>
  <si>
    <t xml:space="preserve">~17k/sqmi</t>
  </si>
  <si>
    <t xml:space="preserve">~14% FLAG</t>
  </si>
  <si>
    <t xml:space="preserve">Findlay Marke</t>
  </si>
  <si>
    <t xml:space="preserve">94</t>
  </si>
  <si>
    <t xml:space="preserve">Vine 40+</t>
  </si>
  <si>
    <t xml:space="preserve">~95</t>
  </si>
  <si>
    <t xml:space="preserve">~180</t>
  </si>
  <si>
    <t xml:space="preserve">1840s NHL</t>
  </si>
  <si>
    <t xml:space="preserve">NHL district</t>
  </si>
  <si>
    <t xml:space="preserve">$330K</t>
  </si>
  <si>
    <t xml:space="preserve">moderate FLAG</t>
  </si>
  <si>
    <t xml:space="preserve">Cleveland</t>
  </si>
  <si>
    <t xml:space="preserve">Tremont</t>
  </si>
  <si>
    <t xml:space="preserve">bluff above r</t>
  </si>
  <si>
    <t xml:space="preserve">overlooks Cuy</t>
  </si>
  <si>
    <t xml:space="preserve">real valley/s</t>
  </si>
  <si>
    <t xml:space="preserve">moderate, bre</t>
  </si>
  <si>
    <t xml:space="preserve">mixed gaps</t>
  </si>
  <si>
    <t xml:space="preserve">Lincoln Park </t>
  </si>
  <si>
    <t xml:space="preserve">storefronts o</t>
  </si>
  <si>
    <t xml:space="preserve">small square </t>
  </si>
  <si>
    <t xml:space="preserve">~7k FLAG</t>
  </si>
  <si>
    <t xml:space="preserve">~12% FLAG</t>
  </si>
  <si>
    <t xml:space="preserve">limited core </t>
  </si>
  <si>
    <t xml:space="preserve">74</t>
  </si>
  <si>
    <t xml:space="preserve">26 restaurant</t>
  </si>
  <si>
    <t xml:space="preserve">~120+</t>
  </si>
  <si>
    <t xml:space="preserve">~160</t>
  </si>
  <si>
    <t xml:space="preserve">mid-1800s</t>
  </si>
  <si>
    <t xml:space="preserve">$266K FLAG</t>
  </si>
  <si>
    <t xml:space="preserve">low-mod</t>
  </si>
  <si>
    <t xml:space="preserve">Lancaster PA</t>
  </si>
  <si>
    <t xml:space="preserve">Downtown Historic District</t>
  </si>
  <si>
    <t xml:space="preserve">flat Piedmont</t>
  </si>
  <si>
    <t xml:space="preserve">no major feat</t>
  </si>
  <si>
    <t xml:space="preserve">good contiguo</t>
  </si>
  <si>
    <t xml:space="preserve">continuous br</t>
  </si>
  <si>
    <t xml:space="preserve">cars on most</t>
  </si>
  <si>
    <t xml:space="preserve">Penn Sq + Cen</t>
  </si>
  <si>
    <t xml:space="preserve">storefronts f</t>
  </si>
  <si>
    <t xml:space="preserve">true square +</t>
  </si>
  <si>
    <t xml:space="preserve">~7,900 city F</t>
  </si>
  <si>
    <t xml:space="preserve">~10% FLAG</t>
  </si>
  <si>
    <t xml:space="preserve">Central Marke</t>
  </si>
  <si>
    <t xml:space="preserve">est high VERI</t>
  </si>
  <si>
    <t xml:space="preserve">market distri</t>
  </si>
  <si>
    <t xml:space="preserve">~100</t>
  </si>
  <si>
    <t xml:space="preserve">platted 1730</t>
  </si>
  <si>
    <t xml:space="preserve">NRHP district</t>
  </si>
  <si>
    <t xml:space="preserve">$255K</t>
  </si>
  <si>
    <t xml:space="preserve">★ PIRAN (REF)</t>
  </si>
  <si>
    <t xml:space="preserve">Old town / Tartini Sq</t>
  </si>
  <si>
    <t xml:space="preserve">peninsula+wal</t>
  </si>
  <si>
    <t xml:space="preserve">Adriatic 3 si</t>
  </si>
  <si>
    <t xml:space="preserve">sea+town vist</t>
  </si>
  <si>
    <t xml:space="preserve">total car-fre</t>
  </si>
  <si>
    <t xml:space="preserve">unbroken Vene</t>
  </si>
  <si>
    <t xml:space="preserve">fully car-fre</t>
  </si>
  <si>
    <t xml:space="preserve">Tartini Sq</t>
  </si>
  <si>
    <t xml:space="preserve">cafes ring sq</t>
  </si>
  <si>
    <t xml:space="preserve">square+sea pr</t>
  </si>
  <si>
    <t xml:space="preserve">~13800/sqmi</t>
  </si>
  <si>
    <t xml:space="preserve">seasonal FLAG</t>
  </si>
  <si>
    <t xml:space="preserve">fish mkt+groc</t>
  </si>
  <si>
    <t xml:space="preserve">all on foot</t>
  </si>
  <si>
    <t xml:space="preserve">quay dense</t>
  </si>
  <si>
    <t xml:space="preserve">frost rare 4-</t>
  </si>
  <si>
    <t xml:space="preserve">Mediterranean</t>
  </si>
  <si>
    <t xml:space="preserve">medieval pre-</t>
  </si>
  <si>
    <t xml:space="preserve">protected tow</t>
  </si>
  <si>
    <t xml:space="preserve">high coastal</t>
  </si>
  <si>
    <t xml:space="preserve">heavy STR</t>
  </si>
  <si>
    <t xml:space="preserve">★ BLED (REF)</t>
  </si>
  <si>
    <t xml:space="preserve">Lakefront / town core</t>
  </si>
  <si>
    <t xml:space="preserve">Julian Alps b</t>
  </si>
  <si>
    <t xml:space="preserve">lake+island+c</t>
  </si>
  <si>
    <t xml:space="preserve">endless alpin</t>
  </si>
  <si>
    <t xml:space="preserve">lakeside walk</t>
  </si>
  <si>
    <t xml:space="preserve">resort villag</t>
  </si>
  <si>
    <t xml:space="preserve">lake path car</t>
  </si>
  <si>
    <t xml:space="preserve">lakefront is </t>
  </si>
  <si>
    <t xml:space="preserve">hotels/cafes </t>
  </si>
  <si>
    <t xml:space="preserve">linear lakefr</t>
  </si>
  <si>
    <t xml:space="preserve">spread resort</t>
  </si>
  <si>
    <t xml:space="preserve">town grocers</t>
  </si>
  <si>
    <t xml:space="preserve">walkable lake</t>
  </si>
  <si>
    <t xml:space="preserve">lakefront</t>
  </si>
  <si>
    <t xml:space="preserve">alpine snow</t>
  </si>
  <si>
    <t xml:space="preserve">alpine cloud</t>
  </si>
  <si>
    <t xml:space="preserve">old village+r</t>
  </si>
  <si>
    <t xml:space="preserve">heritage land</t>
  </si>
  <si>
    <t xml:space="preserve">high resort</t>
  </si>
  <si>
    <t xml:space="preserve">Ljubljana (REF)</t>
  </si>
  <si>
    <t xml:space="preserve">Old town / Prešeren riverfront</t>
  </si>
  <si>
    <t xml:space="preserve">castle hill</t>
  </si>
  <si>
    <t xml:space="preserve">river+castle </t>
  </si>
  <si>
    <t xml:space="preserve">castle/river </t>
  </si>
  <si>
    <t xml:space="preserve">large car-fre</t>
  </si>
  <si>
    <t xml:space="preserve">continuous ba</t>
  </si>
  <si>
    <t xml:space="preserve">center car-ba</t>
  </si>
  <si>
    <t xml:space="preserve">Prešeren+emba</t>
  </si>
  <si>
    <t xml:space="preserve">cafe-lined em</t>
  </si>
  <si>
    <t xml:space="preserve">square+river </t>
  </si>
  <si>
    <t xml:space="preserve">dense core</t>
  </si>
  <si>
    <t xml:space="preserve">moderate</t>
  </si>
  <si>
    <t xml:space="preserve">car-free cent</t>
  </si>
  <si>
    <t xml:space="preserve">riverfront wa</t>
  </si>
  <si>
    <t xml:space="preserve">continental s</t>
  </si>
  <si>
    <t xml:space="preserve">foggy winters</t>
  </si>
  <si>
    <t xml:space="preserve">medieval+baro</t>
  </si>
  <si>
    <t xml:space="preserve">protected old</t>
  </si>
  <si>
    <t xml:space="preserve">capital moder</t>
  </si>
  <si>
    <t xml:space="preserve">moderate STR</t>
  </si>
  <si>
    <t xml:space="preserve">★ = Slovenia reference (the gold standard). The model is only trustworthy if Piran/Bled/Ljubljana rank at the very top. Equal weights.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</si>
</sst>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1A1A1A"/>
      <name val="Arial"/>
      <family val="0"/>
      <charset val="1"/>
    </font>
    <font>
      <b val="true"/>
      <sz val="7"/>
      <color rgb="FF55555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0"/>
      <charset val="1"/>
    </font>
    <font>
      <sz val="7"/>
      <color rgb="FF88888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i val="true"/>
      <sz val="8"/>
      <color rgb="FFB8860B"/>
      <name val="Arial"/>
      <family val="0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2F4858"/>
        <bgColor rgb="FF1F3540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FF2CC"/>
      </patternFill>
    </fill>
    <fill>
      <patternFill patternType="solid">
        <fgColor rgb="FFBDD7EE"/>
        <bgColor rgb="FFD9D2E9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E699"/>
      </patternFill>
    </fill>
    <fill>
      <patternFill patternType="solid">
        <fgColor rgb="FFF2F2F2"/>
        <bgColor rgb="FFFFFFFF"/>
      </patternFill>
    </fill>
    <fill>
      <patternFill patternType="solid">
        <fgColor rgb="FF1F3540"/>
        <bgColor rgb="FF2F4858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88888"/>
      <rgbColor rgb="FF9999FF"/>
      <rgbColor rgb="FF555555"/>
      <rgbColor rgb="FFFFF2CC"/>
      <rgbColor rgb="FFF2F2F2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0B4"/>
      <rgbColor rgb="FFFFE699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A"/>
      <rgbColor rgb="FF993300"/>
      <rgbColor rgb="FF993366"/>
      <rgbColor rgb="FF2F4858"/>
      <rgbColor rgb="FF1F3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3"/>
    <col collapsed="false" customWidth="true" hidden="false" outlineLevel="0" max="3" min="3" style="1" width="8"/>
    <col collapsed="false" customWidth="true" hidden="false" outlineLevel="0" max="4" min="4" style="1" width="5"/>
    <col collapsed="false" customWidth="true" hidden="false" outlineLevel="0" max="5" min="5" style="1" width="8"/>
    <col collapsed="false" customWidth="true" hidden="false" outlineLevel="0" max="6" min="6" style="1" width="5"/>
    <col collapsed="false" customWidth="true" hidden="false" outlineLevel="0" max="7" min="7" style="1" width="8"/>
    <col collapsed="false" customWidth="true" hidden="false" outlineLevel="0" max="8" min="8" style="1" width="5"/>
    <col collapsed="false" customWidth="true" hidden="false" outlineLevel="0" max="9" min="9" style="1" width="8"/>
    <col collapsed="false" customWidth="true" hidden="false" outlineLevel="0" max="10" min="10" style="1" width="5"/>
    <col collapsed="false" customWidth="true" hidden="false" outlineLevel="0" max="11" min="11" style="1" width="8"/>
    <col collapsed="false" customWidth="true" hidden="false" outlineLevel="0" max="12" min="12" style="1" width="5"/>
    <col collapsed="false" customWidth="true" hidden="false" outlineLevel="0" max="13" min="13" style="1" width="8"/>
    <col collapsed="false" customWidth="true" hidden="false" outlineLevel="0" max="14" min="14" style="1" width="5"/>
    <col collapsed="false" customWidth="true" hidden="false" outlineLevel="0" max="15" min="15" style="1" width="8"/>
    <col collapsed="false" customWidth="true" hidden="false" outlineLevel="0" max="16" min="16" style="1" width="5"/>
    <col collapsed="false" customWidth="true" hidden="false" outlineLevel="0" max="17" min="17" style="1" width="8"/>
    <col collapsed="false" customWidth="true" hidden="false" outlineLevel="0" max="18" min="18" style="1" width="5"/>
    <col collapsed="false" customWidth="true" hidden="false" outlineLevel="0" max="19" min="19" style="1" width="8"/>
    <col collapsed="false" customWidth="true" hidden="false" outlineLevel="0" max="20" min="20" style="1" width="5"/>
    <col collapsed="false" customWidth="true" hidden="false" outlineLevel="0" max="21" min="21" style="1" width="8"/>
    <col collapsed="false" customWidth="true" hidden="false" outlineLevel="0" max="22" min="22" style="1" width="5"/>
    <col collapsed="false" customWidth="true" hidden="false" outlineLevel="0" max="23" min="23" style="1" width="8"/>
    <col collapsed="false" customWidth="true" hidden="false" outlineLevel="0" max="24" min="24" style="1" width="5"/>
    <col collapsed="false" customWidth="true" hidden="false" outlineLevel="0" max="25" min="25" style="1" width="8"/>
    <col collapsed="false" customWidth="true" hidden="false" outlineLevel="0" max="26" min="26" style="1" width="5"/>
    <col collapsed="false" customWidth="true" hidden="false" outlineLevel="0" max="27" min="27" style="1" width="8"/>
    <col collapsed="false" customWidth="true" hidden="false" outlineLevel="0" max="28" min="28" style="1" width="5"/>
    <col collapsed="false" customWidth="true" hidden="false" outlineLevel="0" max="29" min="29" style="1" width="8"/>
    <col collapsed="false" customWidth="true" hidden="false" outlineLevel="0" max="30" min="30" style="1" width="5"/>
    <col collapsed="false" customWidth="true" hidden="false" outlineLevel="0" max="31" min="31" style="1" width="8"/>
    <col collapsed="false" customWidth="true" hidden="false" outlineLevel="0" max="32" min="32" style="1" width="5"/>
    <col collapsed="false" customWidth="true" hidden="false" outlineLevel="0" max="33" min="33" style="1" width="8"/>
    <col collapsed="false" customWidth="true" hidden="false" outlineLevel="0" max="34" min="34" style="1" width="5"/>
    <col collapsed="false" customWidth="true" hidden="false" outlineLevel="0" max="35" min="35" style="1" width="8"/>
    <col collapsed="false" customWidth="true" hidden="false" outlineLevel="0" max="36" min="36" style="1" width="5"/>
    <col collapsed="false" customWidth="true" hidden="false" outlineLevel="0" max="37" min="37" style="1" width="8"/>
    <col collapsed="false" customWidth="true" hidden="false" outlineLevel="0" max="38" min="38" style="1" width="5"/>
    <col collapsed="false" customWidth="true" hidden="false" outlineLevel="0" max="39" min="39" style="1" width="8"/>
    <col collapsed="false" customWidth="true" hidden="false" outlineLevel="0" max="40" min="40" style="1" width="5"/>
    <col collapsed="false" customWidth="true" hidden="false" outlineLevel="0" max="41" min="41" style="1" width="8"/>
    <col collapsed="false" customWidth="true" hidden="false" outlineLevel="0" max="42" min="42" style="1" width="5"/>
    <col collapsed="false" customWidth="true" hidden="false" outlineLevel="0" max="46" min="43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4" customFormat="false" ht="15" hidden="false" customHeight="true" outlineLevel="0" collapsed="false">
      <c r="A4" s="4" t="s">
        <v>2</v>
      </c>
      <c r="D4" s="5" t="n">
        <v>1</v>
      </c>
      <c r="F4" s="5" t="n">
        <v>1</v>
      </c>
      <c r="H4" s="5" t="n">
        <v>1</v>
      </c>
      <c r="J4" s="5" t="n">
        <v>1</v>
      </c>
      <c r="L4" s="5" t="n">
        <v>1</v>
      </c>
      <c r="N4" s="5" t="n">
        <v>1</v>
      </c>
      <c r="P4" s="5" t="n">
        <v>1</v>
      </c>
      <c r="R4" s="5" t="n">
        <v>1</v>
      </c>
      <c r="T4" s="5" t="n">
        <v>1</v>
      </c>
      <c r="V4" s="5" t="n">
        <v>1</v>
      </c>
      <c r="X4" s="5" t="n">
        <v>1</v>
      </c>
      <c r="Z4" s="5" t="n">
        <v>1</v>
      </c>
      <c r="AB4" s="5" t="n">
        <v>1</v>
      </c>
      <c r="AD4" s="5" t="n">
        <v>1</v>
      </c>
      <c r="AF4" s="5" t="n">
        <v>1</v>
      </c>
      <c r="AH4" s="5" t="n">
        <v>1</v>
      </c>
      <c r="AJ4" s="5" t="n">
        <v>1</v>
      </c>
      <c r="AL4" s="5" t="n">
        <v>1</v>
      </c>
      <c r="AN4" s="5" t="n">
        <v>1</v>
      </c>
      <c r="AP4" s="5" t="n">
        <v>1</v>
      </c>
    </row>
    <row r="5" customFormat="false" ht="30" hidden="false" customHeight="true" outlineLevel="0" collapsed="false">
      <c r="A5" s="6" t="s">
        <v>3</v>
      </c>
      <c r="B5" s="6" t="s">
        <v>4</v>
      </c>
      <c r="C5" s="7" t="s">
        <v>5</v>
      </c>
      <c r="D5" s="8" t="s">
        <v>6</v>
      </c>
      <c r="E5" s="7" t="s">
        <v>7</v>
      </c>
      <c r="F5" s="8" t="s">
        <v>6</v>
      </c>
      <c r="G5" s="7" t="s">
        <v>8</v>
      </c>
      <c r="H5" s="8" t="s">
        <v>6</v>
      </c>
      <c r="I5" s="7" t="s">
        <v>9</v>
      </c>
      <c r="J5" s="8" t="s">
        <v>6</v>
      </c>
      <c r="K5" s="7" t="s">
        <v>10</v>
      </c>
      <c r="L5" s="8" t="s">
        <v>6</v>
      </c>
      <c r="M5" s="9" t="s">
        <v>11</v>
      </c>
      <c r="N5" s="8" t="s">
        <v>6</v>
      </c>
      <c r="O5" s="9" t="s">
        <v>12</v>
      </c>
      <c r="P5" s="8" t="s">
        <v>6</v>
      </c>
      <c r="Q5" s="9" t="s">
        <v>13</v>
      </c>
      <c r="R5" s="8" t="s">
        <v>6</v>
      </c>
      <c r="S5" s="9" t="s">
        <v>14</v>
      </c>
      <c r="T5" s="8" t="s">
        <v>6</v>
      </c>
      <c r="U5" s="10" t="s">
        <v>15</v>
      </c>
      <c r="V5" s="8" t="s">
        <v>6</v>
      </c>
      <c r="W5" s="10" t="s">
        <v>16</v>
      </c>
      <c r="X5" s="8" t="s">
        <v>6</v>
      </c>
      <c r="Y5" s="10" t="s">
        <v>17</v>
      </c>
      <c r="Z5" s="8" t="s">
        <v>6</v>
      </c>
      <c r="AA5" s="10" t="s">
        <v>18</v>
      </c>
      <c r="AB5" s="8" t="s">
        <v>6</v>
      </c>
      <c r="AC5" s="10" t="s">
        <v>19</v>
      </c>
      <c r="AD5" s="8" t="s">
        <v>6</v>
      </c>
      <c r="AE5" s="11" t="s">
        <v>20</v>
      </c>
      <c r="AF5" s="8" t="s">
        <v>6</v>
      </c>
      <c r="AG5" s="11" t="s">
        <v>21</v>
      </c>
      <c r="AH5" s="8" t="s">
        <v>6</v>
      </c>
      <c r="AI5" s="12" t="s">
        <v>22</v>
      </c>
      <c r="AJ5" s="8" t="s">
        <v>6</v>
      </c>
      <c r="AK5" s="12" t="s">
        <v>23</v>
      </c>
      <c r="AL5" s="8" t="s">
        <v>6</v>
      </c>
      <c r="AM5" s="13" t="s">
        <v>24</v>
      </c>
      <c r="AN5" s="8" t="s">
        <v>6</v>
      </c>
      <c r="AO5" s="13" t="s">
        <v>25</v>
      </c>
      <c r="AP5" s="8" t="s">
        <v>6</v>
      </c>
      <c r="AQ5" s="14" t="s">
        <v>26</v>
      </c>
      <c r="AR5" s="14" t="s">
        <v>27</v>
      </c>
      <c r="AS5" s="14" t="s">
        <v>28</v>
      </c>
      <c r="AT5" s="14" t="s">
        <v>29</v>
      </c>
    </row>
    <row r="6" customFormat="false" ht="23.25" hidden="false" customHeight="true" outlineLevel="0" collapsed="false">
      <c r="A6" s="15" t="s">
        <v>30</v>
      </c>
      <c r="B6" s="16" t="s">
        <v>31</v>
      </c>
      <c r="C6" s="17" t="s">
        <v>32</v>
      </c>
      <c r="D6" s="18" t="n">
        <v>1</v>
      </c>
      <c r="E6" s="17" t="s">
        <v>33</v>
      </c>
      <c r="F6" s="18" t="n">
        <v>1</v>
      </c>
      <c r="G6" s="17" t="s">
        <v>34</v>
      </c>
      <c r="H6" s="18" t="n">
        <v>1</v>
      </c>
      <c r="I6" s="17" t="s">
        <v>35</v>
      </c>
      <c r="J6" s="18" t="n">
        <v>4</v>
      </c>
      <c r="K6" s="17" t="s">
        <v>36</v>
      </c>
      <c r="L6" s="18" t="n">
        <v>5</v>
      </c>
      <c r="M6" s="17" t="s">
        <v>37</v>
      </c>
      <c r="N6" s="18" t="n">
        <v>3</v>
      </c>
      <c r="O6" s="17" t="s">
        <v>38</v>
      </c>
      <c r="P6" s="18" t="n">
        <v>2</v>
      </c>
      <c r="Q6" s="17" t="s">
        <v>39</v>
      </c>
      <c r="R6" s="18" t="n">
        <v>8</v>
      </c>
      <c r="S6" s="17" t="s">
        <v>40</v>
      </c>
      <c r="T6" s="18" t="n">
        <v>5</v>
      </c>
      <c r="U6" s="17" t="s">
        <v>41</v>
      </c>
      <c r="V6" s="18" t="n">
        <v>10</v>
      </c>
      <c r="W6" s="17" t="s">
        <v>42</v>
      </c>
      <c r="X6" s="18" t="n">
        <v>7</v>
      </c>
      <c r="Y6" s="17" t="s">
        <v>43</v>
      </c>
      <c r="Z6" s="18" t="n">
        <v>7</v>
      </c>
      <c r="AA6" s="17" t="s">
        <v>44</v>
      </c>
      <c r="AB6" s="18" t="n">
        <v>9</v>
      </c>
      <c r="AC6" s="17" t="s">
        <v>45</v>
      </c>
      <c r="AD6" s="18" t="n">
        <v>10</v>
      </c>
      <c r="AE6" s="17" t="s">
        <v>46</v>
      </c>
      <c r="AF6" s="18" t="n">
        <v>4</v>
      </c>
      <c r="AG6" s="17" t="s">
        <v>47</v>
      </c>
      <c r="AH6" s="18" t="n">
        <v>4</v>
      </c>
      <c r="AI6" s="17" t="s">
        <v>48</v>
      </c>
      <c r="AJ6" s="18" t="n">
        <v>8</v>
      </c>
      <c r="AK6" s="17" t="s">
        <v>49</v>
      </c>
      <c r="AL6" s="18" t="n">
        <v>6</v>
      </c>
      <c r="AM6" s="17" t="s">
        <v>50</v>
      </c>
      <c r="AN6" s="18" t="n">
        <v>10</v>
      </c>
      <c r="AO6" s="17" t="s">
        <v>51</v>
      </c>
      <c r="AP6" s="18" t="n">
        <v>8</v>
      </c>
      <c r="AQ6" s="19" t="n">
        <f aca="false">N(D6)*D$4+N(F6)*F$4+N(H6)*H$4+N(J6)*J$4+N(L6)*L$4+N(N6)*N$4+N(P6)*P$4+N(R6)*R$4+N(T6)*T$4+N(V6)*V$4+N(X6)*X$4+N(Z6)*Z$4+N(AB6)*AB$4+N(AD6)*AD$4+N(AF6)*AF$4+N(AH6)*AH$4+N(AJ6)*AJ$4+N(AL6)*AL$4+N(AN6)*AN$4+N(AP6)*AP$4</f>
        <v>113</v>
      </c>
      <c r="AR6" s="19" t="n">
        <f aca="false">IF(D6="",0,10*D$4)+IF(F6="",0,10*F$4)+IF(H6="",0,10*H$4)+IF(J6="",0,10*J$4)+IF(L6="",0,10*L$4)+IF(N6="",0,10*N$4)+IF(P6="",0,10*P$4)+IF(R6="",0,10*R$4)+IF(T6="",0,10*T$4)+IF(V6="",0,10*V$4)+IF(X6="",0,10*X$4)+IF(Z6="",0,10*Z$4)+IF(AB6="",0,10*AB$4)+IF(AD6="",0,10*AD$4)+IF(AF6="",0,10*AF$4)+IF(AH6="",0,10*AH$4)+IF(AJ6="",0,10*AJ$4)+IF(AL6="",0,10*AL$4)+IF(AN6="",0,10*AN$4)+IF(AP6="",0,10*AP$4)</f>
        <v>200</v>
      </c>
      <c r="AS6" s="20" t="n">
        <f aca="false">IF(AR6=0,"",AQ6/AR6)</f>
        <v>0.565</v>
      </c>
      <c r="AT6" s="21" t="str">
        <f aca="false">IF(AS6="","(inc)",IF(AS6&gt;=0.75,"STRONG",IF(AS6&gt;=0.6,"WORTH A LOOK","PROBABLY NOT")))</f>
        <v>PROBABLY NOT</v>
      </c>
    </row>
    <row r="7" customFormat="false" ht="21.75" hidden="false" customHeight="true" outlineLevel="0" collapsed="false">
      <c r="A7" s="15" t="s">
        <v>52</v>
      </c>
      <c r="B7" s="16" t="s">
        <v>53</v>
      </c>
      <c r="C7" s="17" t="s">
        <v>54</v>
      </c>
      <c r="D7" s="18" t="n">
        <v>3</v>
      </c>
      <c r="E7" s="17" t="s">
        <v>55</v>
      </c>
      <c r="F7" s="18" t="n">
        <v>5</v>
      </c>
      <c r="G7" s="17" t="s">
        <v>56</v>
      </c>
      <c r="H7" s="18" t="n">
        <v>3</v>
      </c>
      <c r="I7" s="17" t="s">
        <v>57</v>
      </c>
      <c r="J7" s="18" t="n">
        <v>4</v>
      </c>
      <c r="K7" s="17" t="s">
        <v>58</v>
      </c>
      <c r="L7" s="18" t="n">
        <v>5</v>
      </c>
      <c r="M7" s="17" t="s">
        <v>59</v>
      </c>
      <c r="N7" s="18" t="n">
        <v>3</v>
      </c>
      <c r="O7" s="17" t="s">
        <v>60</v>
      </c>
      <c r="P7" s="18" t="n">
        <v>2</v>
      </c>
      <c r="Q7" s="17" t="s">
        <v>61</v>
      </c>
      <c r="R7" s="18" t="n">
        <v>6</v>
      </c>
      <c r="S7" s="17" t="s">
        <v>62</v>
      </c>
      <c r="T7" s="18" t="n">
        <v>5</v>
      </c>
      <c r="U7" s="17" t="s">
        <v>63</v>
      </c>
      <c r="V7" s="18" t="n">
        <v>5</v>
      </c>
      <c r="W7" s="17" t="s">
        <v>51</v>
      </c>
      <c r="X7" s="18" t="n">
        <v>7</v>
      </c>
      <c r="Y7" s="17" t="s">
        <v>64</v>
      </c>
      <c r="Z7" s="18" t="n">
        <v>5</v>
      </c>
      <c r="AA7" s="17" t="s">
        <v>65</v>
      </c>
      <c r="AB7" s="18" t="n">
        <v>6</v>
      </c>
      <c r="AC7" s="17" t="s">
        <v>66</v>
      </c>
      <c r="AD7" s="18" t="n">
        <v>5</v>
      </c>
      <c r="AE7" s="17" t="s">
        <v>46</v>
      </c>
      <c r="AF7" s="18" t="n">
        <v>4</v>
      </c>
      <c r="AG7" s="17" t="s">
        <v>67</v>
      </c>
      <c r="AH7" s="18" t="n">
        <v>4</v>
      </c>
      <c r="AI7" s="17" t="s">
        <v>68</v>
      </c>
      <c r="AJ7" s="18" t="n">
        <v>8</v>
      </c>
      <c r="AK7" s="17" t="s">
        <v>69</v>
      </c>
      <c r="AL7" s="18" t="n">
        <v>6</v>
      </c>
      <c r="AM7" s="17" t="s">
        <v>70</v>
      </c>
      <c r="AN7" s="18" t="n">
        <v>9</v>
      </c>
      <c r="AO7" s="17" t="s">
        <v>51</v>
      </c>
      <c r="AP7" s="18" t="n">
        <v>8</v>
      </c>
      <c r="AQ7" s="19" t="n">
        <f aca="false">N(D7)*D$4+N(F7)*F$4+N(H7)*H$4+N(J7)*J$4+N(L7)*L$4+N(N7)*N$4+N(P7)*P$4+N(R7)*R$4+N(T7)*T$4+N(V7)*V$4+N(X7)*X$4+N(Z7)*Z$4+N(AB7)*AB$4+N(AD7)*AD$4+N(AF7)*AF$4+N(AH7)*AH$4+N(AJ7)*AJ$4+N(AL7)*AL$4+N(AN7)*AN$4+N(AP7)*AP$4</f>
        <v>103</v>
      </c>
      <c r="AR7" s="19" t="n">
        <f aca="false">IF(D7="",0,10*D$4)+IF(F7="",0,10*F$4)+IF(H7="",0,10*H$4)+IF(J7="",0,10*J$4)+IF(L7="",0,10*L$4)+IF(N7="",0,10*N$4)+IF(P7="",0,10*P$4)+IF(R7="",0,10*R$4)+IF(T7="",0,10*T$4)+IF(V7="",0,10*V$4)+IF(X7="",0,10*X$4)+IF(Z7="",0,10*Z$4)+IF(AB7="",0,10*AB$4)+IF(AD7="",0,10*AD$4)+IF(AF7="",0,10*AF$4)+IF(AH7="",0,10*AH$4)+IF(AJ7="",0,10*AJ$4)+IF(AL7="",0,10*AL$4)+IF(AN7="",0,10*AN$4)+IF(AP7="",0,10*AP$4)</f>
        <v>200</v>
      </c>
      <c r="AS7" s="20" t="n">
        <f aca="false">IF(AR7=0,"",AQ7/AR7)</f>
        <v>0.515</v>
      </c>
      <c r="AT7" s="21" t="str">
        <f aca="false">IF(AS7="","(inc)",IF(AS7&gt;=0.75,"STRONG",IF(AS7&gt;=0.6,"WORTH A LOOK","PROBABLY NOT")))</f>
        <v>PROBABLY NOT</v>
      </c>
    </row>
    <row r="8" customFormat="false" ht="21.75" hidden="false" customHeight="true" outlineLevel="0" collapsed="false">
      <c r="A8" s="15" t="s">
        <v>71</v>
      </c>
      <c r="B8" s="16" t="s">
        <v>72</v>
      </c>
      <c r="C8" s="17" t="s">
        <v>73</v>
      </c>
      <c r="D8" s="18" t="n">
        <v>2</v>
      </c>
      <c r="E8" s="17" t="s">
        <v>74</v>
      </c>
      <c r="F8" s="18" t="n">
        <v>5</v>
      </c>
      <c r="G8" s="17" t="s">
        <v>75</v>
      </c>
      <c r="H8" s="18" t="n">
        <v>2</v>
      </c>
      <c r="I8" s="17" t="s">
        <v>76</v>
      </c>
      <c r="J8" s="18" t="n">
        <v>5</v>
      </c>
      <c r="K8" s="17" t="s">
        <v>77</v>
      </c>
      <c r="L8" s="18" t="n">
        <v>6</v>
      </c>
      <c r="M8" s="17" t="s">
        <v>78</v>
      </c>
      <c r="N8" s="18" t="n">
        <v>4</v>
      </c>
      <c r="O8" s="17" t="s">
        <v>79</v>
      </c>
      <c r="P8" s="18" t="n">
        <v>2</v>
      </c>
      <c r="Q8" s="17" t="s">
        <v>80</v>
      </c>
      <c r="R8" s="18" t="n">
        <v>8</v>
      </c>
      <c r="S8" s="17" t="s">
        <v>81</v>
      </c>
      <c r="T8" s="18" t="n">
        <v>5</v>
      </c>
      <c r="U8" s="17" t="s">
        <v>82</v>
      </c>
      <c r="V8" s="18" t="n">
        <v>4</v>
      </c>
      <c r="W8" s="17" t="s">
        <v>51</v>
      </c>
      <c r="X8" s="18" t="n">
        <v>7</v>
      </c>
      <c r="Y8" s="17" t="s">
        <v>83</v>
      </c>
      <c r="Z8" s="18" t="n">
        <v>6</v>
      </c>
      <c r="AA8" s="17" t="s">
        <v>84</v>
      </c>
      <c r="AB8" s="18" t="n">
        <v>7</v>
      </c>
      <c r="AC8" s="17" t="s">
        <v>85</v>
      </c>
      <c r="AD8" s="18" t="n">
        <v>6</v>
      </c>
      <c r="AE8" s="17" t="s">
        <v>46</v>
      </c>
      <c r="AF8" s="18" t="n">
        <v>4</v>
      </c>
      <c r="AG8" s="17" t="s">
        <v>67</v>
      </c>
      <c r="AH8" s="18" t="n">
        <v>4</v>
      </c>
      <c r="AI8" s="17" t="s">
        <v>86</v>
      </c>
      <c r="AJ8" s="18" t="n">
        <v>8</v>
      </c>
      <c r="AK8" s="17" t="s">
        <v>87</v>
      </c>
      <c r="AL8" s="18" t="n">
        <v>8</v>
      </c>
      <c r="AM8" s="17" t="s">
        <v>88</v>
      </c>
      <c r="AN8" s="18" t="n">
        <v>8</v>
      </c>
      <c r="AO8" s="17" t="s">
        <v>51</v>
      </c>
      <c r="AP8" s="18" t="n">
        <v>8</v>
      </c>
      <c r="AQ8" s="19" t="n">
        <f aca="false">N(D8)*D$4+N(F8)*F$4+N(H8)*H$4+N(J8)*J$4+N(L8)*L$4+N(N8)*N$4+N(P8)*P$4+N(R8)*R$4+N(T8)*T$4+N(V8)*V$4+N(X8)*X$4+N(Z8)*Z$4+N(AB8)*AB$4+N(AD8)*AD$4+N(AF8)*AF$4+N(AH8)*AH$4+N(AJ8)*AJ$4+N(AL8)*AL$4+N(AN8)*AN$4+N(AP8)*AP$4</f>
        <v>109</v>
      </c>
      <c r="AR8" s="19" t="n">
        <f aca="false">IF(D8="",0,10*D$4)+IF(F8="",0,10*F$4)+IF(H8="",0,10*H$4)+IF(J8="",0,10*J$4)+IF(L8="",0,10*L$4)+IF(N8="",0,10*N$4)+IF(P8="",0,10*P$4)+IF(R8="",0,10*R$4)+IF(T8="",0,10*T$4)+IF(V8="",0,10*V$4)+IF(X8="",0,10*X$4)+IF(Z8="",0,10*Z$4)+IF(AB8="",0,10*AB$4)+IF(AD8="",0,10*AD$4)+IF(AF8="",0,10*AF$4)+IF(AH8="",0,10*AH$4)+IF(AJ8="",0,10*AJ$4)+IF(AL8="",0,10*AL$4)+IF(AN8="",0,10*AN$4)+IF(AP8="",0,10*AP$4)</f>
        <v>200</v>
      </c>
      <c r="AS8" s="20" t="n">
        <f aca="false">IF(AR8=0,"",AQ8/AR8)</f>
        <v>0.545</v>
      </c>
      <c r="AT8" s="21" t="str">
        <f aca="false">IF(AS8="","(inc)",IF(AS8&gt;=0.75,"STRONG",IF(AS8&gt;=0.6,"WORTH A LOOK","PROBABLY NOT")))</f>
        <v>PROBABLY NOT</v>
      </c>
    </row>
    <row r="9" customFormat="false" ht="23.25" hidden="false" customHeight="true" outlineLevel="0" collapsed="false">
      <c r="A9" s="15" t="s">
        <v>89</v>
      </c>
      <c r="B9" s="16" t="s">
        <v>90</v>
      </c>
      <c r="C9" s="17" t="s">
        <v>91</v>
      </c>
      <c r="D9" s="18" t="n">
        <v>3</v>
      </c>
      <c r="E9" s="17" t="s">
        <v>92</v>
      </c>
      <c r="F9" s="18" t="n">
        <v>5</v>
      </c>
      <c r="G9" s="17" t="s">
        <v>93</v>
      </c>
      <c r="H9" s="18" t="n">
        <v>3</v>
      </c>
      <c r="I9" s="17" t="s">
        <v>94</v>
      </c>
      <c r="J9" s="18" t="n">
        <v>3</v>
      </c>
      <c r="K9" s="17" t="s">
        <v>95</v>
      </c>
      <c r="L9" s="18" t="n">
        <v>4</v>
      </c>
      <c r="M9" s="17" t="s">
        <v>59</v>
      </c>
      <c r="N9" s="18" t="n">
        <v>3</v>
      </c>
      <c r="O9" s="17" t="s">
        <v>96</v>
      </c>
      <c r="P9" s="18" t="n">
        <v>1</v>
      </c>
      <c r="Q9" s="17" t="s">
        <v>97</v>
      </c>
      <c r="R9" s="18" t="n">
        <v>4</v>
      </c>
      <c r="S9" s="17" t="s">
        <v>98</v>
      </c>
      <c r="T9" s="18" t="n">
        <v>4</v>
      </c>
      <c r="U9" s="17" t="s">
        <v>99</v>
      </c>
      <c r="V9" s="18" t="n">
        <v>5</v>
      </c>
      <c r="W9" s="17" t="s">
        <v>100</v>
      </c>
      <c r="X9" s="18" t="n">
        <v>5</v>
      </c>
      <c r="Y9" s="17" t="s">
        <v>93</v>
      </c>
      <c r="Z9" s="18" t="n">
        <v>4</v>
      </c>
      <c r="AA9" s="17" t="s">
        <v>101</v>
      </c>
      <c r="AB9" s="18" t="n">
        <v>6</v>
      </c>
      <c r="AC9" s="17" t="s">
        <v>102</v>
      </c>
      <c r="AD9" s="18" t="n">
        <v>4</v>
      </c>
      <c r="AE9" s="17" t="s">
        <v>46</v>
      </c>
      <c r="AF9" s="18" t="n">
        <v>4</v>
      </c>
      <c r="AG9" s="17" t="s">
        <v>67</v>
      </c>
      <c r="AH9" s="18" t="n">
        <v>4</v>
      </c>
      <c r="AI9" s="17" t="s">
        <v>68</v>
      </c>
      <c r="AJ9" s="18" t="n">
        <v>8</v>
      </c>
      <c r="AK9" s="17" t="s">
        <v>103</v>
      </c>
      <c r="AL9" s="18" t="n">
        <v>4</v>
      </c>
      <c r="AM9" s="17" t="s">
        <v>104</v>
      </c>
      <c r="AN9" s="18" t="n">
        <v>6</v>
      </c>
      <c r="AO9" s="17" t="s">
        <v>105</v>
      </c>
      <c r="AP9" s="18" t="n">
        <v>9</v>
      </c>
      <c r="AQ9" s="19" t="n">
        <f aca="false">N(D9)*D$4+N(F9)*F$4+N(H9)*H$4+N(J9)*J$4+N(L9)*L$4+N(N9)*N$4+N(P9)*P$4+N(R9)*R$4+N(T9)*T$4+N(V9)*V$4+N(X9)*X$4+N(Z9)*Z$4+N(AB9)*AB$4+N(AD9)*AD$4+N(AF9)*AF$4+N(AH9)*AH$4+N(AJ9)*AJ$4+N(AL9)*AL$4+N(AN9)*AN$4+N(AP9)*AP$4</f>
        <v>89</v>
      </c>
      <c r="AR9" s="19" t="n">
        <f aca="false">IF(D9="",0,10*D$4)+IF(F9="",0,10*F$4)+IF(H9="",0,10*H$4)+IF(J9="",0,10*J$4)+IF(L9="",0,10*L$4)+IF(N9="",0,10*N$4)+IF(P9="",0,10*P$4)+IF(R9="",0,10*R$4)+IF(T9="",0,10*T$4)+IF(V9="",0,10*V$4)+IF(X9="",0,10*X$4)+IF(Z9="",0,10*Z$4)+IF(AB9="",0,10*AB$4)+IF(AD9="",0,10*AD$4)+IF(AF9="",0,10*AF$4)+IF(AH9="",0,10*AH$4)+IF(AJ9="",0,10*AJ$4)+IF(AL9="",0,10*AL$4)+IF(AN9="",0,10*AN$4)+IF(AP9="",0,10*AP$4)</f>
        <v>200</v>
      </c>
      <c r="AS9" s="20" t="n">
        <f aca="false">IF(AR9=0,"",AQ9/AR9)</f>
        <v>0.445</v>
      </c>
      <c r="AT9" s="21" t="str">
        <f aca="false">IF(AS9="","(inc)",IF(AS9&gt;=0.75,"STRONG",IF(AS9&gt;=0.6,"WORTH A LOOK","PROBABLY NOT")))</f>
        <v>PROBABLY NOT</v>
      </c>
    </row>
    <row r="10" customFormat="false" ht="23.25" hidden="false" customHeight="true" outlineLevel="0" collapsed="false">
      <c r="A10" s="15" t="s">
        <v>106</v>
      </c>
      <c r="B10" s="16" t="s">
        <v>107</v>
      </c>
      <c r="C10" s="17" t="s">
        <v>108</v>
      </c>
      <c r="D10" s="18" t="n">
        <v>3</v>
      </c>
      <c r="E10" s="17" t="s">
        <v>109</v>
      </c>
      <c r="F10" s="18" t="n">
        <v>2</v>
      </c>
      <c r="G10" s="17" t="s">
        <v>34</v>
      </c>
      <c r="H10" s="18" t="n">
        <v>2</v>
      </c>
      <c r="I10" s="17" t="s">
        <v>110</v>
      </c>
      <c r="J10" s="18" t="n">
        <v>0</v>
      </c>
      <c r="K10" s="17" t="s">
        <v>111</v>
      </c>
      <c r="L10" s="18" t="n">
        <v>0</v>
      </c>
      <c r="M10" s="17" t="s">
        <v>112</v>
      </c>
      <c r="N10" s="18" t="n">
        <v>1</v>
      </c>
      <c r="O10" s="17" t="s">
        <v>96</v>
      </c>
      <c r="P10" s="18" t="n">
        <v>0</v>
      </c>
      <c r="Q10" s="17" t="s">
        <v>113</v>
      </c>
      <c r="R10" s="18" t="n">
        <v>1</v>
      </c>
      <c r="S10" s="17" t="s">
        <v>114</v>
      </c>
      <c r="T10" s="18" t="n">
        <v>0</v>
      </c>
      <c r="U10" s="17" t="s">
        <v>115</v>
      </c>
      <c r="V10" s="18" t="n">
        <v>2</v>
      </c>
      <c r="W10" s="17" t="s">
        <v>105</v>
      </c>
      <c r="X10" s="18" t="n">
        <v>8</v>
      </c>
      <c r="Y10" s="17" t="s">
        <v>116</v>
      </c>
      <c r="Z10" s="18" t="n">
        <v>3</v>
      </c>
      <c r="AA10" s="17" t="s">
        <v>112</v>
      </c>
      <c r="AB10" s="18" t="n">
        <v>2</v>
      </c>
      <c r="AC10" s="17" t="s">
        <v>117</v>
      </c>
      <c r="AD10" s="18" t="n">
        <v>2</v>
      </c>
      <c r="AE10" s="17" t="s">
        <v>46</v>
      </c>
      <c r="AF10" s="18" t="n">
        <v>4</v>
      </c>
      <c r="AG10" s="17" t="s">
        <v>67</v>
      </c>
      <c r="AH10" s="18" t="n">
        <v>4</v>
      </c>
      <c r="AI10" s="17" t="s">
        <v>118</v>
      </c>
      <c r="AJ10" s="18" t="n">
        <v>2</v>
      </c>
      <c r="AK10" s="17" t="s">
        <v>96</v>
      </c>
      <c r="AL10" s="18" t="n">
        <v>2</v>
      </c>
      <c r="AM10" s="17" t="s">
        <v>119</v>
      </c>
      <c r="AN10" s="18" t="n">
        <v>8</v>
      </c>
      <c r="AO10" s="17" t="s">
        <v>96</v>
      </c>
      <c r="AP10" s="18" t="n">
        <v>10</v>
      </c>
      <c r="AQ10" s="19" t="n">
        <f aca="false">N(D10)*D$4+N(F10)*F$4+N(H10)*H$4+N(J10)*J$4+N(L10)*L$4+N(N10)*N$4+N(P10)*P$4+N(R10)*R$4+N(T10)*T$4+N(V10)*V$4+N(X10)*X$4+N(Z10)*Z$4+N(AB10)*AB$4+N(AD10)*AD$4+N(AF10)*AF$4+N(AH10)*AH$4+N(AJ10)*AJ$4+N(AL10)*AL$4+N(AN10)*AN$4+N(AP10)*AP$4</f>
        <v>56</v>
      </c>
      <c r="AR10" s="19" t="n">
        <f aca="false">IF(D10="",0,10*D$4)+IF(F10="",0,10*F$4)+IF(H10="",0,10*H$4)+IF(J10="",0,10*J$4)+IF(L10="",0,10*L$4)+IF(N10="",0,10*N$4)+IF(P10="",0,10*P$4)+IF(R10="",0,10*R$4)+IF(T10="",0,10*T$4)+IF(V10="",0,10*V$4)+IF(X10="",0,10*X$4)+IF(Z10="",0,10*Z$4)+IF(AB10="",0,10*AB$4)+IF(AD10="",0,10*AD$4)+IF(AF10="",0,10*AF$4)+IF(AH10="",0,10*AH$4)+IF(AJ10="",0,10*AJ$4)+IF(AL10="",0,10*AL$4)+IF(AN10="",0,10*AN$4)+IF(AP10="",0,10*AP$4)</f>
        <v>200</v>
      </c>
      <c r="AS10" s="20" t="n">
        <f aca="false">IF(AR10=0,"",AQ10/AR10)</f>
        <v>0.28</v>
      </c>
      <c r="AT10" s="21" t="str">
        <f aca="false">IF(AS10="","(inc)",IF(AS10&gt;=0.75,"STRONG",IF(AS10&gt;=0.6,"WORTH A LOOK","PROBABLY NOT")))</f>
        <v>PROBABLY NOT</v>
      </c>
    </row>
    <row r="11" customFormat="false" ht="21.75" hidden="false" customHeight="true" outlineLevel="0" collapsed="false">
      <c r="A11" s="22" t="s">
        <v>120</v>
      </c>
      <c r="B11" s="16" t="s">
        <v>121</v>
      </c>
      <c r="C11" s="17" t="s">
        <v>122</v>
      </c>
      <c r="D11" s="18" t="n">
        <v>3</v>
      </c>
      <c r="E11" s="17" t="s">
        <v>123</v>
      </c>
      <c r="F11" s="18" t="n">
        <v>4</v>
      </c>
      <c r="G11" s="17" t="s">
        <v>124</v>
      </c>
      <c r="H11" s="18" t="n">
        <v>3</v>
      </c>
      <c r="I11" s="17" t="s">
        <v>125</v>
      </c>
      <c r="J11" s="18" t="n">
        <v>9</v>
      </c>
      <c r="K11" s="17" t="s">
        <v>126</v>
      </c>
      <c r="L11" s="18" t="n">
        <v>9</v>
      </c>
      <c r="M11" s="17" t="s">
        <v>127</v>
      </c>
      <c r="N11" s="18" t="n">
        <v>6</v>
      </c>
      <c r="O11" s="17" t="s">
        <v>128</v>
      </c>
      <c r="P11" s="18" t="n">
        <v>9</v>
      </c>
      <c r="Q11" s="17" t="s">
        <v>129</v>
      </c>
      <c r="R11" s="18" t="n">
        <v>9</v>
      </c>
      <c r="S11" s="17" t="s">
        <v>130</v>
      </c>
      <c r="T11" s="18" t="n">
        <v>9</v>
      </c>
      <c r="U11" s="17" t="s">
        <v>131</v>
      </c>
      <c r="V11" s="18" t="n">
        <v>9</v>
      </c>
      <c r="W11" s="17" t="s">
        <v>132</v>
      </c>
      <c r="X11" s="23" t="n">
        <v>4</v>
      </c>
      <c r="Y11" s="17" t="s">
        <v>133</v>
      </c>
      <c r="Z11" s="18" t="n">
        <v>8</v>
      </c>
      <c r="AA11" s="17" t="s">
        <v>134</v>
      </c>
      <c r="AB11" s="18" t="n">
        <v>9</v>
      </c>
      <c r="AC11" s="17" t="s">
        <v>135</v>
      </c>
      <c r="AD11" s="18" t="n">
        <v>10</v>
      </c>
      <c r="AE11" s="17" t="s">
        <v>136</v>
      </c>
      <c r="AF11" s="18" t="n">
        <v>6</v>
      </c>
      <c r="AG11" s="17" t="s">
        <v>137</v>
      </c>
      <c r="AH11" s="18" t="n">
        <v>6</v>
      </c>
      <c r="AI11" s="17" t="s">
        <v>138</v>
      </c>
      <c r="AJ11" s="18" t="n">
        <v>10</v>
      </c>
      <c r="AK11" s="17" t="s">
        <v>139</v>
      </c>
      <c r="AL11" s="18" t="n">
        <v>10</v>
      </c>
      <c r="AM11" s="17" t="s">
        <v>140</v>
      </c>
      <c r="AN11" s="18" t="n">
        <v>9</v>
      </c>
      <c r="AO11" s="17" t="s">
        <v>141</v>
      </c>
      <c r="AP11" s="23" t="n">
        <v>6</v>
      </c>
      <c r="AQ11" s="19" t="n">
        <f aca="false">N(D11)*D$4+N(F11)*F$4+N(H11)*H$4+N(J11)*J$4+N(L11)*L$4+N(N11)*N$4+N(P11)*P$4+N(R11)*R$4+N(T11)*T$4+N(V11)*V$4+N(X11)*X$4+N(Z11)*Z$4+N(AB11)*AB$4+N(AD11)*AD$4+N(AF11)*AF$4+N(AH11)*AH$4+N(AJ11)*AJ$4+N(AL11)*AL$4+N(AN11)*AN$4+N(AP11)*AP$4</f>
        <v>148</v>
      </c>
      <c r="AR11" s="19" t="n">
        <f aca="false">IF(D11="",0,10*D$4)+IF(F11="",0,10*F$4)+IF(H11="",0,10*H$4)+IF(J11="",0,10*J$4)+IF(L11="",0,10*L$4)+IF(N11="",0,10*N$4)+IF(P11="",0,10*P$4)+IF(R11="",0,10*R$4)+IF(T11="",0,10*T$4)+IF(V11="",0,10*V$4)+IF(X11="",0,10*X$4)+IF(Z11="",0,10*Z$4)+IF(AB11="",0,10*AB$4)+IF(AD11="",0,10*AD$4)+IF(AF11="",0,10*AF$4)+IF(AH11="",0,10*AH$4)+IF(AJ11="",0,10*AJ$4)+IF(AL11="",0,10*AL$4)+IF(AN11="",0,10*AN$4)+IF(AP11="",0,10*AP$4)</f>
        <v>200</v>
      </c>
      <c r="AS11" s="20" t="n">
        <f aca="false">IF(AR11=0,"",AQ11/AR11)</f>
        <v>0.74</v>
      </c>
      <c r="AT11" s="21" t="str">
        <f aca="false">IF(AS11="","(inc)",IF(AS11&gt;=0.75,"STRONG",IF(AS11&gt;=0.6,"WORTH A LOOK","PROBABLY NOT")))</f>
        <v>WORTH A LOOK</v>
      </c>
    </row>
    <row r="12" customFormat="false" ht="21.75" hidden="false" customHeight="true" outlineLevel="0" collapsed="false">
      <c r="A12" s="22" t="s">
        <v>142</v>
      </c>
      <c r="B12" s="16" t="s">
        <v>143</v>
      </c>
      <c r="C12" s="17" t="s">
        <v>144</v>
      </c>
      <c r="D12" s="18" t="n">
        <v>6</v>
      </c>
      <c r="E12" s="17" t="s">
        <v>145</v>
      </c>
      <c r="F12" s="18" t="n">
        <v>6</v>
      </c>
      <c r="G12" s="17" t="s">
        <v>146</v>
      </c>
      <c r="H12" s="18" t="n">
        <v>6</v>
      </c>
      <c r="I12" s="17" t="s">
        <v>147</v>
      </c>
      <c r="J12" s="18" t="n">
        <v>5</v>
      </c>
      <c r="K12" s="17" t="s">
        <v>148</v>
      </c>
      <c r="L12" s="18" t="n">
        <v>5</v>
      </c>
      <c r="M12" s="17" t="s">
        <v>59</v>
      </c>
      <c r="N12" s="18" t="n">
        <v>4</v>
      </c>
      <c r="O12" s="17" t="s">
        <v>149</v>
      </c>
      <c r="P12" s="18" t="n">
        <v>5</v>
      </c>
      <c r="Q12" s="17" t="s">
        <v>150</v>
      </c>
      <c r="R12" s="18" t="n">
        <v>6</v>
      </c>
      <c r="S12" s="17" t="s">
        <v>151</v>
      </c>
      <c r="T12" s="18" t="n">
        <v>6</v>
      </c>
      <c r="U12" s="17" t="s">
        <v>152</v>
      </c>
      <c r="V12" s="23" t="n">
        <v>6</v>
      </c>
      <c r="W12" s="17" t="s">
        <v>153</v>
      </c>
      <c r="X12" s="23" t="n">
        <v>5</v>
      </c>
      <c r="Y12" s="17" t="s">
        <v>154</v>
      </c>
      <c r="Z12" s="18" t="n">
        <v>5</v>
      </c>
      <c r="AA12" s="17" t="s">
        <v>155</v>
      </c>
      <c r="AB12" s="18" t="n">
        <v>7</v>
      </c>
      <c r="AC12" s="17" t="s">
        <v>156</v>
      </c>
      <c r="AD12" s="18" t="n">
        <v>7</v>
      </c>
      <c r="AE12" s="17" t="s">
        <v>157</v>
      </c>
      <c r="AF12" s="18" t="n">
        <v>4</v>
      </c>
      <c r="AG12" s="17" t="s">
        <v>158</v>
      </c>
      <c r="AH12" s="18" t="n">
        <v>4</v>
      </c>
      <c r="AI12" s="17" t="s">
        <v>159</v>
      </c>
      <c r="AJ12" s="18" t="n">
        <v>9</v>
      </c>
      <c r="AK12" s="17" t="s">
        <v>49</v>
      </c>
      <c r="AL12" s="18" t="n">
        <v>6</v>
      </c>
      <c r="AM12" s="17" t="s">
        <v>160</v>
      </c>
      <c r="AN12" s="23" t="n">
        <v>9</v>
      </c>
      <c r="AO12" s="17" t="s">
        <v>161</v>
      </c>
      <c r="AP12" s="18" t="n">
        <v>7</v>
      </c>
      <c r="AQ12" s="19" t="n">
        <f aca="false">N(D12)*D$4+N(F12)*F$4+N(H12)*H$4+N(J12)*J$4+N(L12)*L$4+N(N12)*N$4+N(P12)*P$4+N(R12)*R$4+N(T12)*T$4+N(V12)*V$4+N(X12)*X$4+N(Z12)*Z$4+N(AB12)*AB$4+N(AD12)*AD$4+N(AF12)*AF$4+N(AH12)*AH$4+N(AJ12)*AJ$4+N(AL12)*AL$4+N(AN12)*AN$4+N(AP12)*AP$4</f>
        <v>118</v>
      </c>
      <c r="AR12" s="19" t="n">
        <f aca="false">IF(D12="",0,10*D$4)+IF(F12="",0,10*F$4)+IF(H12="",0,10*H$4)+IF(J12="",0,10*J$4)+IF(L12="",0,10*L$4)+IF(N12="",0,10*N$4)+IF(P12="",0,10*P$4)+IF(R12="",0,10*R$4)+IF(T12="",0,10*T$4)+IF(V12="",0,10*V$4)+IF(X12="",0,10*X$4)+IF(Z12="",0,10*Z$4)+IF(AB12="",0,10*AB$4)+IF(AD12="",0,10*AD$4)+IF(AF12="",0,10*AF$4)+IF(AH12="",0,10*AH$4)+IF(AJ12="",0,10*AJ$4)+IF(AL12="",0,10*AL$4)+IF(AN12="",0,10*AN$4)+IF(AP12="",0,10*AP$4)</f>
        <v>200</v>
      </c>
      <c r="AS12" s="20" t="n">
        <f aca="false">IF(AR12=0,"",AQ12/AR12)</f>
        <v>0.59</v>
      </c>
      <c r="AT12" s="21" t="str">
        <f aca="false">IF(AS12="","(inc)",IF(AS12&gt;=0.75,"STRONG",IF(AS12&gt;=0.6,"WORTH A LOOK","PROBABLY NOT")))</f>
        <v>PROBABLY NOT</v>
      </c>
    </row>
    <row r="13" customFormat="false" ht="21.75" hidden="false" customHeight="true" outlineLevel="0" collapsed="false">
      <c r="A13" s="22" t="s">
        <v>162</v>
      </c>
      <c r="B13" s="16" t="s">
        <v>163</v>
      </c>
      <c r="C13" s="17" t="s">
        <v>164</v>
      </c>
      <c r="D13" s="18" t="n">
        <v>2</v>
      </c>
      <c r="E13" s="17" t="s">
        <v>165</v>
      </c>
      <c r="F13" s="18" t="n">
        <v>2</v>
      </c>
      <c r="G13" s="17" t="s">
        <v>34</v>
      </c>
      <c r="H13" s="18" t="n">
        <v>2</v>
      </c>
      <c r="I13" s="17" t="s">
        <v>166</v>
      </c>
      <c r="J13" s="18" t="n">
        <v>7</v>
      </c>
      <c r="K13" s="17" t="s">
        <v>167</v>
      </c>
      <c r="L13" s="18" t="n">
        <v>7</v>
      </c>
      <c r="M13" s="17" t="s">
        <v>168</v>
      </c>
      <c r="N13" s="18" t="n">
        <v>5</v>
      </c>
      <c r="O13" s="17" t="s">
        <v>169</v>
      </c>
      <c r="P13" s="18" t="n">
        <v>8</v>
      </c>
      <c r="Q13" s="17" t="s">
        <v>170</v>
      </c>
      <c r="R13" s="18" t="n">
        <v>8</v>
      </c>
      <c r="S13" s="17" t="s">
        <v>171</v>
      </c>
      <c r="T13" s="18" t="n">
        <v>9</v>
      </c>
      <c r="U13" s="17" t="s">
        <v>172</v>
      </c>
      <c r="V13" s="23" t="n">
        <v>6</v>
      </c>
      <c r="W13" s="17" t="s">
        <v>173</v>
      </c>
      <c r="X13" s="23" t="n">
        <v>6</v>
      </c>
      <c r="Y13" s="17" t="s">
        <v>174</v>
      </c>
      <c r="Z13" s="18" t="n">
        <v>7</v>
      </c>
      <c r="AA13" s="17" t="s">
        <v>175</v>
      </c>
      <c r="AB13" s="18" t="n">
        <v>8</v>
      </c>
      <c r="AC13" s="17" t="s">
        <v>176</v>
      </c>
      <c r="AD13" s="18" t="n">
        <v>8</v>
      </c>
      <c r="AE13" s="17" t="s">
        <v>177</v>
      </c>
      <c r="AF13" s="18" t="n">
        <v>5</v>
      </c>
      <c r="AG13" s="17" t="s">
        <v>137</v>
      </c>
      <c r="AH13" s="18" t="n">
        <v>6</v>
      </c>
      <c r="AI13" s="17" t="s">
        <v>178</v>
      </c>
      <c r="AJ13" s="18" t="n">
        <v>10</v>
      </c>
      <c r="AK13" s="17" t="s">
        <v>179</v>
      </c>
      <c r="AL13" s="18" t="n">
        <v>9</v>
      </c>
      <c r="AM13" s="17" t="s">
        <v>180</v>
      </c>
      <c r="AN13" s="18" t="n">
        <v>10</v>
      </c>
      <c r="AO13" s="17" t="s">
        <v>51</v>
      </c>
      <c r="AP13" s="18" t="n">
        <v>8</v>
      </c>
      <c r="AQ13" s="19" t="n">
        <f aca="false">N(D13)*D$4+N(F13)*F$4+N(H13)*H$4+N(J13)*J$4+N(L13)*L$4+N(N13)*N$4+N(P13)*P$4+N(R13)*R$4+N(T13)*T$4+N(V13)*V$4+N(X13)*X$4+N(Z13)*Z$4+N(AB13)*AB$4+N(AD13)*AD$4+N(AF13)*AF$4+N(AH13)*AH$4+N(AJ13)*AJ$4+N(AL13)*AL$4+N(AN13)*AN$4+N(AP13)*AP$4</f>
        <v>133</v>
      </c>
      <c r="AR13" s="19" t="n">
        <f aca="false">IF(D13="",0,10*D$4)+IF(F13="",0,10*F$4)+IF(H13="",0,10*H$4)+IF(J13="",0,10*J$4)+IF(L13="",0,10*L$4)+IF(N13="",0,10*N$4)+IF(P13="",0,10*P$4)+IF(R13="",0,10*R$4)+IF(T13="",0,10*T$4)+IF(V13="",0,10*V$4)+IF(X13="",0,10*X$4)+IF(Z13="",0,10*Z$4)+IF(AB13="",0,10*AB$4)+IF(AD13="",0,10*AD$4)+IF(AF13="",0,10*AF$4)+IF(AH13="",0,10*AH$4)+IF(AJ13="",0,10*AJ$4)+IF(AL13="",0,10*AL$4)+IF(AN13="",0,10*AN$4)+IF(AP13="",0,10*AP$4)</f>
        <v>200</v>
      </c>
      <c r="AS13" s="20" t="n">
        <f aca="false">IF(AR13=0,"",AQ13/AR13)</f>
        <v>0.665</v>
      </c>
      <c r="AT13" s="21" t="str">
        <f aca="false">IF(AS13="","(inc)",IF(AS13&gt;=0.75,"STRONG",IF(AS13&gt;=0.6,"WORTH A LOOK","PROBABLY NOT")))</f>
        <v>WORTH A LOOK</v>
      </c>
    </row>
    <row r="15" customFormat="false" ht="15" hidden="false" customHeight="true" outlineLevel="0" collapsed="false">
      <c r="A15" s="24"/>
    </row>
    <row r="16" customFormat="false" ht="16.4" hidden="false" customHeight="false" outlineLevel="0" collapsed="false">
      <c r="A16" s="25" t="s">
        <v>181</v>
      </c>
      <c r="B16" s="26" t="s">
        <v>182</v>
      </c>
      <c r="C16" s="17" t="s">
        <v>183</v>
      </c>
      <c r="D16" s="18" t="n">
        <v>7</v>
      </c>
      <c r="E16" s="17" t="s">
        <v>184</v>
      </c>
      <c r="F16" s="18" t="n">
        <v>10</v>
      </c>
      <c r="G16" s="17" t="s">
        <v>185</v>
      </c>
      <c r="H16" s="18" t="n">
        <v>10</v>
      </c>
      <c r="I16" s="17" t="s">
        <v>186</v>
      </c>
      <c r="J16" s="18" t="n">
        <v>10</v>
      </c>
      <c r="K16" s="17" t="s">
        <v>187</v>
      </c>
      <c r="L16" s="18" t="n">
        <v>10</v>
      </c>
      <c r="M16" s="17" t="s">
        <v>188</v>
      </c>
      <c r="N16" s="18" t="n">
        <v>10</v>
      </c>
      <c r="O16" s="17" t="s">
        <v>189</v>
      </c>
      <c r="P16" s="18" t="n">
        <v>9</v>
      </c>
      <c r="Q16" s="17" t="s">
        <v>190</v>
      </c>
      <c r="R16" s="18" t="n">
        <v>9</v>
      </c>
      <c r="S16" s="17" t="s">
        <v>191</v>
      </c>
      <c r="T16" s="18" t="n">
        <v>10</v>
      </c>
      <c r="U16" s="17" t="s">
        <v>192</v>
      </c>
      <c r="V16" s="18" t="n">
        <v>9</v>
      </c>
      <c r="W16" s="17" t="s">
        <v>193</v>
      </c>
      <c r="X16" s="18" t="n">
        <v>5</v>
      </c>
      <c r="Y16" s="17" t="s">
        <v>194</v>
      </c>
      <c r="Z16" s="18" t="n">
        <v>7</v>
      </c>
      <c r="AA16" s="17" t="s">
        <v>195</v>
      </c>
      <c r="AB16" s="18" t="n">
        <v>10</v>
      </c>
      <c r="AC16" s="17" t="s">
        <v>196</v>
      </c>
      <c r="AD16" s="18" t="n">
        <v>9</v>
      </c>
      <c r="AE16" s="17" t="s">
        <v>197</v>
      </c>
      <c r="AF16" s="18" t="n">
        <v>9</v>
      </c>
      <c r="AG16" s="17" t="s">
        <v>198</v>
      </c>
      <c r="AH16" s="18" t="n">
        <v>7</v>
      </c>
      <c r="AI16" s="17" t="s">
        <v>199</v>
      </c>
      <c r="AJ16" s="18" t="n">
        <v>10</v>
      </c>
      <c r="AK16" s="17" t="s">
        <v>200</v>
      </c>
      <c r="AL16" s="18" t="n">
        <v>10</v>
      </c>
      <c r="AM16" s="17" t="s">
        <v>201</v>
      </c>
      <c r="AN16" s="18" t="n">
        <v>5</v>
      </c>
      <c r="AO16" s="17" t="s">
        <v>202</v>
      </c>
      <c r="AP16" s="18" t="n">
        <v>3</v>
      </c>
      <c r="AQ16" s="19" t="n">
        <f aca="false">N(D16)*D$4+N(F16)*F$4+N(H16)*H$4+N(J16)*J$4+N(L16)*L$4+N(N16)*N$4+N(P16)*P$4+N(R16)*R$4+N(T16)*T$4+N(V16)*V$4+N(X16)*X$4+N(Z16)*Z$4+N(AB16)*AB$4+N(AD16)*AD$4+N(AF16)*AF$4+N(AH16)*AH$4+N(AJ16)*AJ$4+N(AL16)*AL$4+N(AN16)*AN$4+N(AP16)*AP$4</f>
        <v>169</v>
      </c>
      <c r="AR16" s="19" t="n">
        <f aca="false">IF(D16="",0,10*D$4)+IF(F16="",0,10*F$4)+IF(H16="",0,10*H$4)+IF(J16="",0,10*J$4)+IF(L16="",0,10*L$4)+IF(N16="",0,10*N$4)+IF(P16="",0,10*P$4)+IF(R16="",0,10*R$4)+IF(T16="",0,10*T$4)+IF(V16="",0,10*V$4)+IF(X16="",0,10*X$4)+IF(Z16="",0,10*Z$4)+IF(AB16="",0,10*AB$4)+IF(AD16="",0,10*AD$4)+IF(AF16="",0,10*AF$4)+IF(AH16="",0,10*AH$4)+IF(AJ16="",0,10*AJ$4)+IF(AL16="",0,10*AL$4)+IF(AN16="",0,10*AN$4)+IF(AP16="",0,10*AP$4)</f>
        <v>200</v>
      </c>
      <c r="AS16" s="20" t="n">
        <f aca="false">IF(AR16=0,"",AQ16/AR16)</f>
        <v>0.845</v>
      </c>
      <c r="AT16" s="21" t="str">
        <f aca="false">IF(AS16="","(inc)",IF(AS16&gt;=0.75,"STRONG",IF(AS16&gt;=0.6,"WORTH A LOOK","PROBABLY NOT")))</f>
        <v>STRONG</v>
      </c>
    </row>
    <row r="17" customFormat="false" ht="22.35" hidden="false" customHeight="false" outlineLevel="0" collapsed="false">
      <c r="A17" s="25" t="s">
        <v>203</v>
      </c>
      <c r="B17" s="26" t="s">
        <v>204</v>
      </c>
      <c r="C17" s="17" t="s">
        <v>205</v>
      </c>
      <c r="D17" s="18" t="n">
        <v>10</v>
      </c>
      <c r="E17" s="17" t="s">
        <v>206</v>
      </c>
      <c r="F17" s="18" t="n">
        <v>10</v>
      </c>
      <c r="G17" s="17" t="s">
        <v>207</v>
      </c>
      <c r="H17" s="18" t="n">
        <v>10</v>
      </c>
      <c r="I17" s="17" t="s">
        <v>208</v>
      </c>
      <c r="J17" s="18" t="n">
        <v>7</v>
      </c>
      <c r="K17" s="17" t="s">
        <v>209</v>
      </c>
      <c r="L17" s="18" t="n">
        <v>5</v>
      </c>
      <c r="M17" s="17" t="s">
        <v>210</v>
      </c>
      <c r="N17" s="18" t="n">
        <v>6</v>
      </c>
      <c r="O17" s="17" t="s">
        <v>211</v>
      </c>
      <c r="P17" s="18" t="n">
        <v>5</v>
      </c>
      <c r="Q17" s="17" t="s">
        <v>212</v>
      </c>
      <c r="R17" s="18" t="n">
        <v>6</v>
      </c>
      <c r="S17" s="17" t="s">
        <v>213</v>
      </c>
      <c r="T17" s="18" t="n">
        <v>6</v>
      </c>
      <c r="U17" s="17" t="s">
        <v>214</v>
      </c>
      <c r="V17" s="18" t="n">
        <v>4</v>
      </c>
      <c r="W17" s="17" t="s">
        <v>193</v>
      </c>
      <c r="X17" s="18" t="n">
        <v>5</v>
      </c>
      <c r="Y17" s="17" t="s">
        <v>215</v>
      </c>
      <c r="Z17" s="18" t="n">
        <v>5</v>
      </c>
      <c r="AA17" s="17" t="s">
        <v>216</v>
      </c>
      <c r="AB17" s="18" t="n">
        <v>7</v>
      </c>
      <c r="AC17" s="17" t="s">
        <v>217</v>
      </c>
      <c r="AD17" s="18" t="n">
        <v>7</v>
      </c>
      <c r="AE17" s="17" t="s">
        <v>218</v>
      </c>
      <c r="AF17" s="18" t="n">
        <v>4</v>
      </c>
      <c r="AG17" s="17" t="s">
        <v>219</v>
      </c>
      <c r="AH17" s="18" t="n">
        <v>5</v>
      </c>
      <c r="AI17" s="17" t="s">
        <v>220</v>
      </c>
      <c r="AJ17" s="18" t="n">
        <v>7</v>
      </c>
      <c r="AK17" s="17" t="s">
        <v>221</v>
      </c>
      <c r="AL17" s="18" t="n">
        <v>7</v>
      </c>
      <c r="AM17" s="17" t="s">
        <v>222</v>
      </c>
      <c r="AN17" s="18" t="n">
        <v>5</v>
      </c>
      <c r="AO17" s="17" t="s">
        <v>202</v>
      </c>
      <c r="AP17" s="18" t="n">
        <v>3</v>
      </c>
      <c r="AQ17" s="19" t="n">
        <f aca="false">N(D17)*D$4+N(F17)*F$4+N(H17)*H$4+N(J17)*J$4+N(L17)*L$4+N(N17)*N$4+N(P17)*P$4+N(R17)*R$4+N(T17)*T$4+N(V17)*V$4+N(X17)*X$4+N(Z17)*Z$4+N(AB17)*AB$4+N(AD17)*AD$4+N(AF17)*AF$4+N(AH17)*AH$4+N(AJ17)*AJ$4+N(AL17)*AL$4+N(AN17)*AN$4+N(AP17)*AP$4</f>
        <v>124</v>
      </c>
      <c r="AR17" s="19" t="n">
        <f aca="false">IF(D17="",0,10*D$4)+IF(F17="",0,10*F$4)+IF(H17="",0,10*H$4)+IF(J17="",0,10*J$4)+IF(L17="",0,10*L$4)+IF(N17="",0,10*N$4)+IF(P17="",0,10*P$4)+IF(R17="",0,10*R$4)+IF(T17="",0,10*T$4)+IF(V17="",0,10*V$4)+IF(X17="",0,10*X$4)+IF(Z17="",0,10*Z$4)+IF(AB17="",0,10*AB$4)+IF(AD17="",0,10*AD$4)+IF(AF17="",0,10*AF$4)+IF(AH17="",0,10*AH$4)+IF(AJ17="",0,10*AJ$4)+IF(AL17="",0,10*AL$4)+IF(AN17="",0,10*AN$4)+IF(AP17="",0,10*AP$4)</f>
        <v>200</v>
      </c>
      <c r="AS17" s="20" t="n">
        <f aca="false">IF(AR17=0,"",AQ17/AR17)</f>
        <v>0.62</v>
      </c>
      <c r="AT17" s="21" t="str">
        <f aca="false">IF(AS17="","(inc)",IF(AS17&gt;=0.75,"STRONG",IF(AS17&gt;=0.6,"WORTH A LOOK","PROBABLY NOT")))</f>
        <v>WORTH A LOOK</v>
      </c>
    </row>
    <row r="18" customFormat="false" ht="23.85" hidden="false" customHeight="false" outlineLevel="0" collapsed="false">
      <c r="A18" s="25" t="s">
        <v>223</v>
      </c>
      <c r="B18" s="26" t="s">
        <v>224</v>
      </c>
      <c r="C18" s="17" t="s">
        <v>225</v>
      </c>
      <c r="D18" s="18" t="n">
        <v>6</v>
      </c>
      <c r="E18" s="17" t="s">
        <v>226</v>
      </c>
      <c r="F18" s="18" t="n">
        <v>7</v>
      </c>
      <c r="G18" s="17" t="s">
        <v>227</v>
      </c>
      <c r="H18" s="18" t="n">
        <v>7</v>
      </c>
      <c r="I18" s="17" t="s">
        <v>228</v>
      </c>
      <c r="J18" s="18" t="n">
        <v>9</v>
      </c>
      <c r="K18" s="17" t="s">
        <v>229</v>
      </c>
      <c r="L18" s="18" t="n">
        <v>9</v>
      </c>
      <c r="M18" s="17" t="s">
        <v>230</v>
      </c>
      <c r="N18" s="18" t="n">
        <v>10</v>
      </c>
      <c r="O18" s="17" t="s">
        <v>231</v>
      </c>
      <c r="P18" s="18" t="n">
        <v>9</v>
      </c>
      <c r="Q18" s="17" t="s">
        <v>232</v>
      </c>
      <c r="R18" s="18" t="n">
        <v>9</v>
      </c>
      <c r="S18" s="17" t="s">
        <v>233</v>
      </c>
      <c r="T18" s="18" t="n">
        <v>10</v>
      </c>
      <c r="U18" s="17" t="s">
        <v>234</v>
      </c>
      <c r="V18" s="18" t="n">
        <v>8</v>
      </c>
      <c r="W18" s="17" t="s">
        <v>235</v>
      </c>
      <c r="X18" s="18" t="n">
        <v>6</v>
      </c>
      <c r="Y18" s="17" t="s">
        <v>174</v>
      </c>
      <c r="Z18" s="18" t="n">
        <v>8</v>
      </c>
      <c r="AA18" s="17" t="s">
        <v>236</v>
      </c>
      <c r="AB18" s="18" t="n">
        <v>10</v>
      </c>
      <c r="AC18" s="17" t="s">
        <v>237</v>
      </c>
      <c r="AD18" s="18" t="n">
        <v>10</v>
      </c>
      <c r="AE18" s="17" t="s">
        <v>238</v>
      </c>
      <c r="AF18" s="18" t="n">
        <v>4</v>
      </c>
      <c r="AG18" s="17" t="s">
        <v>239</v>
      </c>
      <c r="AH18" s="18" t="n">
        <v>4</v>
      </c>
      <c r="AI18" s="17" t="s">
        <v>240</v>
      </c>
      <c r="AJ18" s="18" t="n">
        <v>10</v>
      </c>
      <c r="AK18" s="17" t="s">
        <v>241</v>
      </c>
      <c r="AL18" s="18" t="n">
        <v>10</v>
      </c>
      <c r="AM18" s="17" t="s">
        <v>242</v>
      </c>
      <c r="AN18" s="18" t="n">
        <v>6</v>
      </c>
      <c r="AO18" s="17" t="s">
        <v>243</v>
      </c>
      <c r="AP18" s="18" t="n">
        <v>5</v>
      </c>
      <c r="AQ18" s="19" t="n">
        <f aca="false">N(D18)*D$4+N(F18)*F$4+N(H18)*H$4+N(J18)*J$4+N(L18)*L$4+N(N18)*N$4+N(P18)*P$4+N(R18)*R$4+N(T18)*T$4+N(V18)*V$4+N(X18)*X$4+N(Z18)*Z$4+N(AB18)*AB$4+N(AD18)*AD$4+N(AF18)*AF$4+N(AH18)*AH$4+N(AJ18)*AJ$4+N(AL18)*AL$4+N(AN18)*AN$4+N(AP18)*AP$4</f>
        <v>157</v>
      </c>
      <c r="AR18" s="19" t="n">
        <f aca="false">IF(D18="",0,10*D$4)+IF(F18="",0,10*F$4)+IF(H18="",0,10*H$4)+IF(J18="",0,10*J$4)+IF(L18="",0,10*L$4)+IF(N18="",0,10*N$4)+IF(P18="",0,10*P$4)+IF(R18="",0,10*R$4)+IF(T18="",0,10*T$4)+IF(V18="",0,10*V$4)+IF(X18="",0,10*X$4)+IF(Z18="",0,10*Z$4)+IF(AB18="",0,10*AB$4)+IF(AD18="",0,10*AD$4)+IF(AF18="",0,10*AF$4)+IF(AH18="",0,10*AH$4)+IF(AJ18="",0,10*AJ$4)+IF(AL18="",0,10*AL$4)+IF(AN18="",0,10*AN$4)+IF(AP18="",0,10*AP$4)</f>
        <v>200</v>
      </c>
      <c r="AS18" s="20" t="n">
        <f aca="false">IF(AR18=0,"",AQ18/AR18)</f>
        <v>0.785</v>
      </c>
      <c r="AT18" s="21" t="str">
        <f aca="false">IF(AS18="","(inc)",IF(AS18&gt;=0.75,"STRONG",IF(AS18&gt;=0.6,"WORTH A LOOK","PROBABLY NOT")))</f>
        <v>STRONG</v>
      </c>
    </row>
    <row r="20" customFormat="false" ht="15" hidden="false" customHeight="false" outlineLevel="0" collapsed="false">
      <c r="A20" s="27" t="s">
        <v>244</v>
      </c>
    </row>
  </sheetData>
  <mergeCells count="1">
    <mergeCell ref="A2:A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2026-05-31T02:31:30Z</dcterms:created>
  <dc:creator>openpyxl</dc:creator>
  <dc:description/>
  <dc:language>en-US</dc:language>
  <cp:lastModifiedBy/>
  <dcterms:modified xsi:type="dcterms:W3CDTF">2026-05-31T02:34:56Z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